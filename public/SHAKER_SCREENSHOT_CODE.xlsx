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480" yWindow="300" windowWidth="18495" windowHeight="11700" activeTab="1"/>
  </bookViews>
  <sheets>
    <sheet name="ED NOT USED" sheetId="1" r:id="rId1"/>
    <sheet name="SNAPSHOT REF" sheetId="2" r:id="rId2"/>
    <sheet name="Feuil3" sheetId="3" r:id="rId3"/>
  </sheets>
  <calcPr calcId="125725"/>
</workbook>
</file>

<file path=xl/calcChain.xml><?xml version="1.0" encoding="utf-8"?>
<calcChain xmlns="http://schemas.openxmlformats.org/spreadsheetml/2006/main">
  <c r="F693" i="2"/>
  <c r="F694" s="1"/>
  <c r="D693"/>
  <c r="D694" s="1"/>
  <c r="F691"/>
  <c r="F692" s="1"/>
  <c r="D691"/>
  <c r="D692" s="1"/>
  <c r="F690"/>
  <c r="F689"/>
  <c r="D689"/>
  <c r="D690" s="1"/>
  <c r="F687"/>
  <c r="F688" s="1"/>
  <c r="F685"/>
  <c r="F686" s="1"/>
  <c r="F683"/>
  <c r="F684" s="1"/>
  <c r="D684"/>
  <c r="D685" s="1"/>
  <c r="D686" s="1"/>
  <c r="D687" s="1"/>
  <c r="D688" s="1"/>
  <c r="A633" l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D627"/>
  <c r="D628" s="1"/>
  <c r="D629" s="1"/>
  <c r="D630" s="1"/>
  <c r="F626"/>
  <c r="F627" s="1"/>
  <c r="F628" s="1"/>
  <c r="F629" s="1"/>
  <c r="F630" s="1"/>
  <c r="F618"/>
  <c r="F619" s="1"/>
  <c r="F620" s="1"/>
  <c r="F621" s="1"/>
  <c r="F622" s="1"/>
  <c r="F623" s="1"/>
  <c r="F624" s="1"/>
  <c r="F625" s="1"/>
  <c r="D618"/>
  <c r="D619" s="1"/>
  <c r="D620" s="1"/>
  <c r="D621" s="1"/>
  <c r="D622" s="1"/>
  <c r="D623" s="1"/>
  <c r="D624" s="1"/>
  <c r="D625" s="1"/>
  <c r="F613"/>
  <c r="F614" s="1"/>
  <c r="F615" s="1"/>
  <c r="F616" s="1"/>
  <c r="F612"/>
  <c r="D612"/>
  <c r="D613" s="1"/>
  <c r="D614" s="1"/>
  <c r="D615" s="1"/>
  <c r="D616" s="1"/>
  <c r="D603"/>
  <c r="D604" s="1"/>
  <c r="D605" s="1"/>
  <c r="D606" s="1"/>
  <c r="D607" s="1"/>
  <c r="D608" s="1"/>
  <c r="D609" s="1"/>
  <c r="D610" s="1"/>
  <c r="F602"/>
  <c r="F603" s="1"/>
  <c r="F604" s="1"/>
  <c r="F605" s="1"/>
  <c r="F606" s="1"/>
  <c r="F607" s="1"/>
  <c r="F608" s="1"/>
  <c r="F609" s="1"/>
  <c r="F610" s="1"/>
  <c r="D602"/>
  <c r="F600"/>
  <c r="D600"/>
  <c r="F598"/>
  <c r="D598"/>
  <c r="D575"/>
  <c r="F575"/>
  <c r="D576"/>
  <c r="D577" s="1"/>
  <c r="D578" s="1"/>
  <c r="D579" s="1"/>
  <c r="D580" s="1"/>
  <c r="D581" s="1"/>
  <c r="D582" s="1"/>
  <c r="D583" s="1"/>
  <c r="D584" s="1"/>
  <c r="D585" s="1"/>
  <c r="D586" s="1"/>
  <c r="D587" s="1"/>
  <c r="D588" s="1"/>
  <c r="D589" s="1"/>
  <c r="D590" s="1"/>
  <c r="D591" s="1"/>
  <c r="D592" s="1"/>
  <c r="D593" s="1"/>
  <c r="D594" s="1"/>
  <c r="D595" s="1"/>
  <c r="D596" s="1"/>
  <c r="F576"/>
  <c r="F577" s="1"/>
  <c r="F578" s="1"/>
  <c r="F579" s="1"/>
  <c r="F580" s="1"/>
  <c r="F581" s="1"/>
  <c r="F582" s="1"/>
  <c r="F583" s="1"/>
  <c r="F584" s="1"/>
  <c r="F585" s="1"/>
  <c r="F586" s="1"/>
  <c r="F587" s="1"/>
  <c r="F588" s="1"/>
  <c r="F589" s="1"/>
  <c r="F590" s="1"/>
  <c r="F591" s="1"/>
  <c r="F592" s="1"/>
  <c r="F593" s="1"/>
  <c r="F594" s="1"/>
  <c r="F595" s="1"/>
  <c r="F596" s="1"/>
  <c r="D564"/>
  <c r="D565" s="1"/>
  <c r="D566" s="1"/>
  <c r="D567" s="1"/>
  <c r="D568" s="1"/>
  <c r="D569" s="1"/>
  <c r="D570" s="1"/>
  <c r="D571" s="1"/>
  <c r="D572" s="1"/>
  <c r="D573" s="1"/>
  <c r="D574" s="1"/>
  <c r="F564"/>
  <c r="F565" s="1"/>
  <c r="F566" s="1"/>
  <c r="F567" s="1"/>
  <c r="F568" s="1"/>
  <c r="F569" s="1"/>
  <c r="F570" s="1"/>
  <c r="F571" s="1"/>
  <c r="F572" s="1"/>
  <c r="F573" s="1"/>
  <c r="F574" s="1"/>
  <c r="D555"/>
  <c r="D556" s="1"/>
  <c r="D557" s="1"/>
  <c r="D558" s="1"/>
  <c r="D559" s="1"/>
  <c r="D560" s="1"/>
  <c r="D561" s="1"/>
  <c r="D562" s="1"/>
  <c r="D563" s="1"/>
  <c r="F554"/>
  <c r="F555" s="1"/>
  <c r="F556" s="1"/>
  <c r="F557" s="1"/>
  <c r="F558" s="1"/>
  <c r="F559" s="1"/>
  <c r="F560" s="1"/>
  <c r="F561" s="1"/>
  <c r="F562" s="1"/>
  <c r="F563" s="1"/>
  <c r="D554"/>
  <c r="F552"/>
  <c r="D552"/>
  <c r="F550"/>
  <c r="D550"/>
  <c r="F541"/>
  <c r="F542" s="1"/>
  <c r="F543" s="1"/>
  <c r="F544" s="1"/>
  <c r="F545" s="1"/>
  <c r="F546" s="1"/>
  <c r="F547" s="1"/>
  <c r="F548" s="1"/>
  <c r="F540"/>
  <c r="D540"/>
  <c r="D541" s="1"/>
  <c r="D542" s="1"/>
  <c r="D543" s="1"/>
  <c r="D544" s="1"/>
  <c r="D545" s="1"/>
  <c r="D546" s="1"/>
  <c r="D547" s="1"/>
  <c r="D548" s="1"/>
  <c r="F644" l="1"/>
  <c r="F645" s="1"/>
  <c r="F646" s="1"/>
  <c r="F647" s="1"/>
  <c r="F648" s="1"/>
  <c r="F649" s="1"/>
  <c r="F650" s="1"/>
  <c r="F651" s="1"/>
  <c r="F652" s="1"/>
  <c r="F653" s="1"/>
  <c r="F654" s="1"/>
  <c r="F655" s="1"/>
  <c r="F656" s="1"/>
  <c r="F657" s="1"/>
  <c r="F658" s="1"/>
  <c r="F659" s="1"/>
  <c r="F660" s="1"/>
  <c r="F661" s="1"/>
  <c r="F662" s="1"/>
  <c r="F663" s="1"/>
  <c r="F664" s="1"/>
  <c r="F665" s="1"/>
  <c r="F666" s="1"/>
  <c r="F667" s="1"/>
  <c r="F668" s="1"/>
  <c r="F669" s="1"/>
  <c r="F670" s="1"/>
  <c r="F671" s="1"/>
  <c r="F672" s="1"/>
  <c r="F673" s="1"/>
  <c r="F674" s="1"/>
  <c r="F675" s="1"/>
  <c r="F676" s="1"/>
  <c r="F677" s="1"/>
  <c r="F678" s="1"/>
  <c r="F679" s="1"/>
  <c r="F680" s="1"/>
  <c r="F681" s="1"/>
  <c r="F682" s="1"/>
  <c r="F643"/>
  <c r="D498" l="1"/>
  <c r="D499" s="1"/>
  <c r="D500" s="1"/>
  <c r="D501" s="1"/>
  <c r="D503"/>
  <c r="D504" s="1"/>
  <c r="D505" s="1"/>
  <c r="D507"/>
  <c r="D508" s="1"/>
  <c r="D509" s="1"/>
  <c r="D510" s="1"/>
  <c r="D511" s="1"/>
  <c r="D512" s="1"/>
  <c r="F507"/>
  <c r="F508" s="1"/>
  <c r="F509" s="1"/>
  <c r="F510" s="1"/>
  <c r="F511" s="1"/>
  <c r="F512" s="1"/>
  <c r="D515"/>
  <c r="D516" s="1"/>
  <c r="D517" s="1"/>
  <c r="D518" s="1"/>
  <c r="D519" s="1"/>
  <c r="D520" s="1"/>
  <c r="D521" s="1"/>
  <c r="D522" s="1"/>
  <c r="D523" s="1"/>
  <c r="D524" s="1"/>
  <c r="D525" s="1"/>
  <c r="D526" s="1"/>
  <c r="D527" s="1"/>
  <c r="D528" s="1"/>
  <c r="D529" s="1"/>
  <c r="D530" s="1"/>
  <c r="D531" s="1"/>
  <c r="D532" s="1"/>
  <c r="D533" s="1"/>
  <c r="D534" s="1"/>
  <c r="D535" s="1"/>
  <c r="D536" s="1"/>
  <c r="D537" s="1"/>
  <c r="D538" s="1"/>
  <c r="F515"/>
  <c r="F516" s="1"/>
  <c r="F517" s="1"/>
  <c r="F518" s="1"/>
  <c r="F519" s="1"/>
  <c r="F520" s="1"/>
  <c r="F521" s="1"/>
  <c r="F522" s="1"/>
  <c r="F523" s="1"/>
  <c r="F524" s="1"/>
  <c r="F525" s="1"/>
  <c r="F526" s="1"/>
  <c r="F527" s="1"/>
  <c r="F528" s="1"/>
  <c r="F529" s="1"/>
  <c r="F530" s="1"/>
  <c r="F531" s="1"/>
  <c r="F532" s="1"/>
  <c r="F533" s="1"/>
  <c r="F534" s="1"/>
  <c r="F535" s="1"/>
  <c r="F536" s="1"/>
  <c r="F537" s="1"/>
  <c r="F538" s="1"/>
  <c r="D485"/>
  <c r="F485"/>
  <c r="D487"/>
  <c r="F487"/>
  <c r="D488"/>
  <c r="D489" s="1"/>
  <c r="F488"/>
  <c r="F489" s="1"/>
  <c r="D492"/>
  <c r="D493" s="1"/>
  <c r="D494" s="1"/>
  <c r="D495" s="1"/>
  <c r="D496" s="1"/>
  <c r="D497" s="1"/>
  <c r="F492"/>
  <c r="F493" s="1"/>
  <c r="F494" s="1"/>
  <c r="F495" s="1"/>
  <c r="F496" s="1"/>
  <c r="F497" s="1"/>
  <c r="F498" s="1"/>
  <c r="F499" s="1"/>
  <c r="F500" s="1"/>
  <c r="F501" s="1"/>
  <c r="D449"/>
  <c r="D450" s="1"/>
  <c r="D451" s="1"/>
  <c r="D452" s="1"/>
  <c r="F449"/>
  <c r="F450" s="1"/>
  <c r="F451" s="1"/>
  <c r="F452" s="1"/>
  <c r="D455"/>
  <c r="D456" s="1"/>
  <c r="D457" s="1"/>
  <c r="D458" s="1"/>
  <c r="D459" s="1"/>
  <c r="D460" s="1"/>
  <c r="D461" s="1"/>
  <c r="D462" s="1"/>
  <c r="D463" s="1"/>
  <c r="D464" s="1"/>
  <c r="D465" s="1"/>
  <c r="D466" s="1"/>
  <c r="D467" s="1"/>
  <c r="D468" s="1"/>
  <c r="D469" s="1"/>
  <c r="F455"/>
  <c r="F456" s="1"/>
  <c r="F457" s="1"/>
  <c r="F458" s="1"/>
  <c r="F459" s="1"/>
  <c r="F460" s="1"/>
  <c r="F461" s="1"/>
  <c r="F462" s="1"/>
  <c r="F463" s="1"/>
  <c r="F464" s="1"/>
  <c r="F465" s="1"/>
  <c r="F466" s="1"/>
  <c r="F467" s="1"/>
  <c r="F468" s="1"/>
  <c r="F469" s="1"/>
  <c r="D472"/>
  <c r="F472"/>
  <c r="D473"/>
  <c r="D474" s="1"/>
  <c r="D475" s="1"/>
  <c r="D476" s="1"/>
  <c r="D477" s="1"/>
  <c r="F473"/>
  <c r="F474" s="1"/>
  <c r="F475" s="1"/>
  <c r="F476" s="1"/>
  <c r="F477" s="1"/>
  <c r="D479"/>
  <c r="F479"/>
  <c r="D447"/>
  <c r="D448" s="1"/>
  <c r="F447"/>
  <c r="F448" s="1"/>
  <c r="D432"/>
  <c r="F432"/>
  <c r="F433" s="1"/>
  <c r="F434" s="1"/>
  <c r="F435" s="1"/>
  <c r="F436" s="1"/>
  <c r="F437" s="1"/>
  <c r="F438" s="1"/>
  <c r="F439" s="1"/>
  <c r="F440" s="1"/>
  <c r="F441" s="1"/>
  <c r="F442" s="1"/>
  <c r="F443" s="1"/>
  <c r="F444" s="1"/>
  <c r="F445" s="1"/>
  <c r="F446" s="1"/>
  <c r="D433"/>
  <c r="D434" s="1"/>
  <c r="D435" s="1"/>
  <c r="D436" s="1"/>
  <c r="D437" s="1"/>
  <c r="D438" s="1"/>
  <c r="D439" s="1"/>
  <c r="D440" s="1"/>
  <c r="D441" s="1"/>
  <c r="D442" s="1"/>
  <c r="D443" s="1"/>
  <c r="D444" s="1"/>
  <c r="D445" s="1"/>
  <c r="D446" s="1"/>
  <c r="D430"/>
  <c r="D431" s="1"/>
  <c r="F430"/>
  <c r="F431" s="1"/>
  <c r="B709" l="1"/>
  <c r="C709" s="1"/>
  <c r="C708"/>
  <c r="B648"/>
  <c r="B644"/>
  <c r="B642"/>
  <c r="B640"/>
  <c r="B638"/>
  <c r="B636"/>
  <c r="B634"/>
  <c r="B630"/>
  <c r="B603"/>
  <c r="B597"/>
  <c r="B471"/>
  <c r="B455"/>
  <c r="B426"/>
  <c r="B422"/>
  <c r="B420"/>
  <c r="F333" l="1"/>
  <c r="D333"/>
  <c r="F335"/>
  <c r="D337"/>
  <c r="F337"/>
  <c r="D338"/>
  <c r="D339" s="1"/>
  <c r="D340" s="1"/>
  <c r="D341" s="1"/>
  <c r="D342" s="1"/>
  <c r="D343" s="1"/>
  <c r="F338"/>
  <c r="F339"/>
  <c r="F340" s="1"/>
  <c r="F341" s="1"/>
  <c r="F342" s="1"/>
  <c r="F343" s="1"/>
  <c r="D345"/>
  <c r="D346" s="1"/>
  <c r="D347" s="1"/>
  <c r="D348" s="1"/>
  <c r="D349" s="1"/>
  <c r="F345"/>
  <c r="F346" s="1"/>
  <c r="F347" s="1"/>
  <c r="F348" s="1"/>
  <c r="F349" s="1"/>
  <c r="D351"/>
  <c r="F351"/>
  <c r="F352" s="1"/>
  <c r="F353" s="1"/>
  <c r="F354" s="1"/>
  <c r="F355" s="1"/>
  <c r="F356" s="1"/>
  <c r="F357" s="1"/>
  <c r="F358" s="1"/>
  <c r="F359" s="1"/>
  <c r="F360" s="1"/>
  <c r="F361" s="1"/>
  <c r="F362" s="1"/>
  <c r="F363" s="1"/>
  <c r="F364" s="1"/>
  <c r="F365" s="1"/>
  <c r="F366" s="1"/>
  <c r="F367" s="1"/>
  <c r="F368" s="1"/>
  <c r="F369" s="1"/>
  <c r="F370" s="1"/>
  <c r="F371" s="1"/>
  <c r="F372" s="1"/>
  <c r="F373" s="1"/>
  <c r="F374" s="1"/>
  <c r="F375" s="1"/>
  <c r="F376" s="1"/>
  <c r="F377" s="1"/>
  <c r="F378" s="1"/>
  <c r="F379" s="1"/>
  <c r="D352"/>
  <c r="D353"/>
  <c r="D354" s="1"/>
  <c r="D355" s="1"/>
  <c r="D356" s="1"/>
  <c r="D357" s="1"/>
  <c r="D358" s="1"/>
  <c r="D359" s="1"/>
  <c r="D360" s="1"/>
  <c r="D361" s="1"/>
  <c r="D362" s="1"/>
  <c r="D363" s="1"/>
  <c r="D364" s="1"/>
  <c r="D365" s="1"/>
  <c r="D366" s="1"/>
  <c r="D367" s="1"/>
  <c r="D368" s="1"/>
  <c r="D369" s="1"/>
  <c r="D370" s="1"/>
  <c r="D371" s="1"/>
  <c r="D372" s="1"/>
  <c r="D373" s="1"/>
  <c r="D374" s="1"/>
  <c r="D375" s="1"/>
  <c r="D376" s="1"/>
  <c r="D377" s="1"/>
  <c r="D378" s="1"/>
  <c r="D379" s="1"/>
  <c r="D382"/>
  <c r="D383" s="1"/>
  <c r="D384" s="1"/>
  <c r="D385" s="1"/>
  <c r="D386" s="1"/>
  <c r="D387" s="1"/>
  <c r="D388" s="1"/>
  <c r="D389" s="1"/>
  <c r="D390" s="1"/>
  <c r="D391" s="1"/>
  <c r="D392" s="1"/>
  <c r="D393" s="1"/>
  <c r="D394" s="1"/>
  <c r="D395" s="1"/>
  <c r="D396" s="1"/>
  <c r="D397" s="1"/>
  <c r="D398" s="1"/>
  <c r="D399" s="1"/>
  <c r="F382"/>
  <c r="F383" s="1"/>
  <c r="F384" s="1"/>
  <c r="F385" s="1"/>
  <c r="F386" s="1"/>
  <c r="F387" s="1"/>
  <c r="F388" s="1"/>
  <c r="F389" s="1"/>
  <c r="F390" s="1"/>
  <c r="F391" s="1"/>
  <c r="F392" s="1"/>
  <c r="F393" s="1"/>
  <c r="F394" s="1"/>
  <c r="F395" s="1"/>
  <c r="F396" s="1"/>
  <c r="F397" s="1"/>
  <c r="F398" s="1"/>
  <c r="F399" s="1"/>
  <c r="D401"/>
  <c r="F401"/>
  <c r="F402" s="1"/>
  <c r="F403" s="1"/>
  <c r="F404" s="1"/>
  <c r="F405" s="1"/>
  <c r="F406" s="1"/>
  <c r="F407" s="1"/>
  <c r="F408" s="1"/>
  <c r="F409" s="1"/>
  <c r="F410" s="1"/>
  <c r="F411" s="1"/>
  <c r="F412" s="1"/>
  <c r="F413" s="1"/>
  <c r="F414" s="1"/>
  <c r="F415" s="1"/>
  <c r="F416" s="1"/>
  <c r="F417" s="1"/>
  <c r="D402"/>
  <c r="D403"/>
  <c r="D404" s="1"/>
  <c r="D405" s="1"/>
  <c r="D406" s="1"/>
  <c r="D407" s="1"/>
  <c r="D408" s="1"/>
  <c r="D409" s="1"/>
  <c r="D410" s="1"/>
  <c r="D411" s="1"/>
  <c r="D412" s="1"/>
  <c r="D413" s="1"/>
  <c r="D414" s="1"/>
  <c r="D415" s="1"/>
  <c r="D416" s="1"/>
  <c r="D417" s="1"/>
  <c r="D420"/>
  <c r="D421" s="1"/>
  <c r="D422" s="1"/>
  <c r="D423" s="1"/>
  <c r="D424" s="1"/>
  <c r="D425" s="1"/>
  <c r="D426" s="1"/>
  <c r="D427" s="1"/>
  <c r="D428" s="1"/>
  <c r="D429" s="1"/>
  <c r="F420"/>
  <c r="F421" s="1"/>
  <c r="F422" s="1"/>
  <c r="F423" s="1"/>
  <c r="F424" s="1"/>
  <c r="F425" s="1"/>
  <c r="F426" s="1"/>
  <c r="F427" s="1"/>
  <c r="F428" s="1"/>
  <c r="F429" s="1"/>
  <c r="D331"/>
  <c r="D332" s="1"/>
  <c r="D329"/>
  <c r="D330" s="1"/>
  <c r="F328"/>
  <c r="F329" s="1"/>
  <c r="F330" s="1"/>
  <c r="F331" s="1"/>
  <c r="F332" s="1"/>
  <c r="F327"/>
  <c r="D327"/>
  <c r="D328" s="1"/>
  <c r="F324"/>
  <c r="D324"/>
  <c r="F323"/>
  <c r="D323"/>
  <c r="F317"/>
  <c r="F318" s="1"/>
  <c r="F319" s="1"/>
  <c r="F320" s="1"/>
  <c r="F321" s="1"/>
  <c r="D317"/>
  <c r="D318" s="1"/>
  <c r="D319" s="1"/>
  <c r="D320" s="1"/>
  <c r="D321" s="1"/>
  <c r="F308"/>
  <c r="F309" s="1"/>
  <c r="F310" s="1"/>
  <c r="F311" s="1"/>
  <c r="F312" s="1"/>
  <c r="F313" s="1"/>
  <c r="F314" s="1"/>
  <c r="F315" s="1"/>
  <c r="D308"/>
  <c r="D309" s="1"/>
  <c r="D310" s="1"/>
  <c r="D311" s="1"/>
  <c r="D312" s="1"/>
  <c r="D313" s="1"/>
  <c r="D314" s="1"/>
  <c r="D315" s="1"/>
  <c r="F305"/>
  <c r="F306" s="1"/>
  <c r="D305"/>
  <c r="D306" s="1"/>
  <c r="F304"/>
  <c r="D304"/>
  <c r="F300"/>
  <c r="F301" s="1"/>
  <c r="F302" s="1"/>
  <c r="D300"/>
  <c r="D301" s="1"/>
  <c r="D302" s="1"/>
  <c r="F299"/>
  <c r="D299"/>
  <c r="F293"/>
  <c r="F294" s="1"/>
  <c r="F295" s="1"/>
  <c r="F296" s="1"/>
  <c r="F297" s="1"/>
  <c r="F298" s="1"/>
  <c r="D293"/>
  <c r="D294" s="1"/>
  <c r="D295" s="1"/>
  <c r="D296" s="1"/>
  <c r="D297" s="1"/>
  <c r="D298" s="1"/>
  <c r="F287"/>
  <c r="F288" s="1"/>
  <c r="F289" s="1"/>
  <c r="F290" s="1"/>
  <c r="F291" s="1"/>
  <c r="F292" s="1"/>
  <c r="D287"/>
  <c r="D288" s="1"/>
  <c r="D289" s="1"/>
  <c r="D290" s="1"/>
  <c r="D291" s="1"/>
  <c r="D292" s="1"/>
  <c r="F286"/>
  <c r="D286"/>
  <c r="F281"/>
  <c r="F282" s="1"/>
  <c r="F283" s="1"/>
  <c r="F284" s="1"/>
  <c r="F285" s="1"/>
  <c r="F280"/>
  <c r="D280"/>
  <c r="D281" s="1"/>
  <c r="D282" s="1"/>
  <c r="D283" s="1"/>
  <c r="D284" s="1"/>
  <c r="D285" s="1"/>
  <c r="F279"/>
  <c r="D279"/>
  <c r="A10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F267"/>
  <c r="F268" s="1"/>
  <c r="F269" s="1"/>
  <c r="F270" s="1"/>
  <c r="F271" s="1"/>
  <c r="F272" s="1"/>
  <c r="F273" s="1"/>
  <c r="F274" s="1"/>
  <c r="D267"/>
  <c r="D268" s="1"/>
  <c r="D269" s="1"/>
  <c r="D270" s="1"/>
  <c r="D271" s="1"/>
  <c r="D272" s="1"/>
  <c r="D273" s="1"/>
  <c r="D274" s="1"/>
  <c r="F264"/>
  <c r="F265" s="1"/>
  <c r="D264"/>
  <c r="D265" s="1"/>
  <c r="F201"/>
  <c r="F202" s="1"/>
  <c r="F203" s="1"/>
  <c r="F204" s="1"/>
  <c r="F205" s="1"/>
  <c r="F206" s="1"/>
  <c r="F207" s="1"/>
  <c r="F208" s="1"/>
  <c r="F209" s="1"/>
  <c r="F210" s="1"/>
  <c r="F211" s="1"/>
  <c r="F212" s="1"/>
  <c r="F213" s="1"/>
  <c r="F214" s="1"/>
  <c r="F215" s="1"/>
  <c r="F216" s="1"/>
  <c r="F217" s="1"/>
  <c r="F218" s="1"/>
  <c r="F219" s="1"/>
  <c r="F220" s="1"/>
  <c r="F221" s="1"/>
  <c r="F222" s="1"/>
  <c r="F223" s="1"/>
  <c r="F224" s="1"/>
  <c r="F225" s="1"/>
  <c r="F226" s="1"/>
  <c r="F227" s="1"/>
  <c r="F228" s="1"/>
  <c r="F229" s="1"/>
  <c r="F230" s="1"/>
  <c r="F231" s="1"/>
  <c r="F232" s="1"/>
  <c r="F233" s="1"/>
  <c r="F234" s="1"/>
  <c r="F235" s="1"/>
  <c r="F236" s="1"/>
  <c r="F237" s="1"/>
  <c r="F238" s="1"/>
  <c r="F239" s="1"/>
  <c r="F240" s="1"/>
  <c r="F241" s="1"/>
  <c r="F242" s="1"/>
  <c r="F243" s="1"/>
  <c r="F244" s="1"/>
  <c r="F245" s="1"/>
  <c r="F246" s="1"/>
  <c r="F247" s="1"/>
  <c r="F248" s="1"/>
  <c r="F249" s="1"/>
  <c r="F250" s="1"/>
  <c r="F251" s="1"/>
  <c r="F252" s="1"/>
  <c r="F253" s="1"/>
  <c r="F254" s="1"/>
  <c r="F255" s="1"/>
  <c r="F256" s="1"/>
  <c r="F257" s="1"/>
  <c r="F258" s="1"/>
  <c r="F259" s="1"/>
  <c r="F260" s="1"/>
  <c r="F261" s="1"/>
  <c r="F262" s="1"/>
  <c r="F181"/>
  <c r="F182"/>
  <c r="F183" s="1"/>
  <c r="F184" s="1"/>
  <c r="F185" s="1"/>
  <c r="F186" s="1"/>
  <c r="F187" s="1"/>
  <c r="F188" s="1"/>
  <c r="F189" s="1"/>
  <c r="F190" s="1"/>
  <c r="F191" s="1"/>
  <c r="F192" s="1"/>
  <c r="F193" s="1"/>
  <c r="F194" s="1"/>
  <c r="F195" s="1"/>
  <c r="F196" s="1"/>
  <c r="F197" s="1"/>
  <c r="F198" s="1"/>
  <c r="F199" s="1"/>
  <c r="F180"/>
  <c r="B9"/>
  <c r="C9" s="1"/>
  <c r="D139"/>
  <c r="D140"/>
  <c r="D141" s="1"/>
  <c r="D142" s="1"/>
  <c r="D143" s="1"/>
  <c r="D144" s="1"/>
  <c r="D145" s="1"/>
  <c r="D146" s="1"/>
  <c r="D147" s="1"/>
  <c r="D148" s="1"/>
  <c r="D149" s="1"/>
  <c r="D150" s="1"/>
  <c r="D151" s="1"/>
  <c r="D152" s="1"/>
  <c r="D153" s="1"/>
  <c r="D154" s="1"/>
  <c r="D155" s="1"/>
  <c r="D156" s="1"/>
  <c r="D157" s="1"/>
  <c r="D158" s="1"/>
  <c r="D159" s="1"/>
  <c r="D160" s="1"/>
  <c r="D161" s="1"/>
  <c r="D162" s="1"/>
  <c r="D163" s="1"/>
  <c r="D164" s="1"/>
  <c r="D165" s="1"/>
  <c r="D166" s="1"/>
  <c r="D167" s="1"/>
  <c r="D168" s="1"/>
  <c r="D169" s="1"/>
  <c r="D170" s="1"/>
  <c r="D171" s="1"/>
  <c r="D172" s="1"/>
  <c r="D173" s="1"/>
  <c r="D174" s="1"/>
  <c r="D175" s="1"/>
  <c r="D176" s="1"/>
  <c r="D177" s="1"/>
  <c r="D178" s="1"/>
  <c r="D179" s="1"/>
  <c r="D180" s="1"/>
  <c r="D181" s="1"/>
  <c r="D182" s="1"/>
  <c r="D183" s="1"/>
  <c r="D184" s="1"/>
  <c r="D185" s="1"/>
  <c r="D186" s="1"/>
  <c r="D187" s="1"/>
  <c r="D188" s="1"/>
  <c r="D189" s="1"/>
  <c r="D190" s="1"/>
  <c r="D191" s="1"/>
  <c r="D192" s="1"/>
  <c r="D193" s="1"/>
  <c r="D194" s="1"/>
  <c r="D195" s="1"/>
  <c r="D196" s="1"/>
  <c r="D197" s="1"/>
  <c r="D198" s="1"/>
  <c r="D199" s="1"/>
  <c r="D200" s="1"/>
  <c r="D201" s="1"/>
  <c r="D202" s="1"/>
  <c r="D203" s="1"/>
  <c r="D204" s="1"/>
  <c r="D205" s="1"/>
  <c r="D206" s="1"/>
  <c r="D207" s="1"/>
  <c r="D208" s="1"/>
  <c r="D209" s="1"/>
  <c r="D210" s="1"/>
  <c r="D211" s="1"/>
  <c r="D212" s="1"/>
  <c r="D213" s="1"/>
  <c r="D214" s="1"/>
  <c r="D215" s="1"/>
  <c r="D216" s="1"/>
  <c r="D217" s="1"/>
  <c r="D218" s="1"/>
  <c r="D219" s="1"/>
  <c r="D220" s="1"/>
  <c r="D221" s="1"/>
  <c r="D222" s="1"/>
  <c r="D223" s="1"/>
  <c r="D224" s="1"/>
  <c r="D225" s="1"/>
  <c r="D226" s="1"/>
  <c r="D227" s="1"/>
  <c r="D228" s="1"/>
  <c r="D229" s="1"/>
  <c r="D230" s="1"/>
  <c r="D231" s="1"/>
  <c r="D232" s="1"/>
  <c r="D233" s="1"/>
  <c r="D234" s="1"/>
  <c r="D235" s="1"/>
  <c r="D236" s="1"/>
  <c r="D237" s="1"/>
  <c r="D238" s="1"/>
  <c r="D239" s="1"/>
  <c r="D240" s="1"/>
  <c r="D241" s="1"/>
  <c r="D242" s="1"/>
  <c r="D243" s="1"/>
  <c r="D244" s="1"/>
  <c r="D245" s="1"/>
  <c r="D246" s="1"/>
  <c r="D247" s="1"/>
  <c r="D248" s="1"/>
  <c r="D249" s="1"/>
  <c r="D250" s="1"/>
  <c r="D251" s="1"/>
  <c r="D252" s="1"/>
  <c r="D253" s="1"/>
  <c r="D254" s="1"/>
  <c r="D255" s="1"/>
  <c r="D256" s="1"/>
  <c r="D257" s="1"/>
  <c r="D258" s="1"/>
  <c r="D259" s="1"/>
  <c r="D260" s="1"/>
  <c r="D261" s="1"/>
  <c r="D262" s="1"/>
  <c r="D138"/>
  <c r="F159"/>
  <c r="F160" s="1"/>
  <c r="F161" s="1"/>
  <c r="F162" s="1"/>
  <c r="F163" s="1"/>
  <c r="F164" s="1"/>
  <c r="F165" s="1"/>
  <c r="F166" s="1"/>
  <c r="F167" s="1"/>
  <c r="F168" s="1"/>
  <c r="F169" s="1"/>
  <c r="F170" s="1"/>
  <c r="F171" s="1"/>
  <c r="F172" s="1"/>
  <c r="F173" s="1"/>
  <c r="F174" s="1"/>
  <c r="F175" s="1"/>
  <c r="F176" s="1"/>
  <c r="F177" s="1"/>
  <c r="F178" s="1"/>
  <c r="F138"/>
  <c r="F139" s="1"/>
  <c r="F140" s="1"/>
  <c r="F141" s="1"/>
  <c r="F142" s="1"/>
  <c r="F143" s="1"/>
  <c r="F144" s="1"/>
  <c r="F145" s="1"/>
  <c r="F146" s="1"/>
  <c r="F147" s="1"/>
  <c r="F148" s="1"/>
  <c r="F149" s="1"/>
  <c r="F150" s="1"/>
  <c r="F151" s="1"/>
  <c r="F152" s="1"/>
  <c r="F153" s="1"/>
  <c r="F154" s="1"/>
  <c r="F155" s="1"/>
  <c r="F156" s="1"/>
  <c r="F157" s="1"/>
  <c r="F133"/>
  <c r="F134" s="1"/>
  <c r="F135" s="1"/>
  <c r="F136" s="1"/>
  <c r="D134"/>
  <c r="D135" s="1"/>
  <c r="D136" s="1"/>
  <c r="D133"/>
  <c r="F126"/>
  <c r="F127" s="1"/>
  <c r="F128" s="1"/>
  <c r="F129" s="1"/>
  <c r="F130" s="1"/>
  <c r="F131" s="1"/>
  <c r="D126"/>
  <c r="D127" s="1"/>
  <c r="D128" s="1"/>
  <c r="D129" s="1"/>
  <c r="D130" s="1"/>
  <c r="D131" s="1"/>
  <c r="F119"/>
  <c r="F120" s="1"/>
  <c r="F121" s="1"/>
  <c r="F122" s="1"/>
  <c r="F123" s="1"/>
  <c r="D119"/>
  <c r="D120" s="1"/>
  <c r="D121" s="1"/>
  <c r="D122" s="1"/>
  <c r="D123" s="1"/>
  <c r="F113"/>
  <c r="F114" s="1"/>
  <c r="F115" s="1"/>
  <c r="F116" s="1"/>
  <c r="F117" s="1"/>
  <c r="D113"/>
  <c r="D114" s="1"/>
  <c r="D115" s="1"/>
  <c r="D116" s="1"/>
  <c r="D117" s="1"/>
  <c r="F101"/>
  <c r="F102" s="1"/>
  <c r="F103" s="1"/>
  <c r="F104" s="1"/>
  <c r="F105" s="1"/>
  <c r="F106" s="1"/>
  <c r="F107" s="1"/>
  <c r="F108" s="1"/>
  <c r="F109" s="1"/>
  <c r="F110" s="1"/>
  <c r="F111" s="1"/>
  <c r="D101"/>
  <c r="D102" s="1"/>
  <c r="D103" s="1"/>
  <c r="D104" s="1"/>
  <c r="D105" s="1"/>
  <c r="D106" s="1"/>
  <c r="D107" s="1"/>
  <c r="D108" s="1"/>
  <c r="D109" s="1"/>
  <c r="D110" s="1"/>
  <c r="D111" s="1"/>
  <c r="F92"/>
  <c r="F93" s="1"/>
  <c r="F94" s="1"/>
  <c r="F95" s="1"/>
  <c r="F96" s="1"/>
  <c r="F97" s="1"/>
  <c r="F98" s="1"/>
  <c r="F99" s="1"/>
  <c r="D93"/>
  <c r="D94" s="1"/>
  <c r="D95" s="1"/>
  <c r="D96" s="1"/>
  <c r="D97" s="1"/>
  <c r="D98" s="1"/>
  <c r="D99" s="1"/>
  <c r="D92"/>
  <c r="F88"/>
  <c r="F89" s="1"/>
  <c r="F90" s="1"/>
  <c r="F87"/>
  <c r="D88"/>
  <c r="D89" s="1"/>
  <c r="D90" s="1"/>
  <c r="D87"/>
  <c r="F84"/>
  <c r="F81"/>
  <c r="F82" s="1"/>
  <c r="F76"/>
  <c r="F77" s="1"/>
  <c r="F78" s="1"/>
  <c r="F75"/>
  <c r="D75"/>
  <c r="D76" s="1"/>
  <c r="D77" s="1"/>
  <c r="D78" s="1"/>
  <c r="F70"/>
  <c r="F71" s="1"/>
  <c r="F72" s="1"/>
  <c r="F73" s="1"/>
  <c r="D70"/>
  <c r="D71" s="1"/>
  <c r="D72" s="1"/>
  <c r="F65"/>
  <c r="F66" s="1"/>
  <c r="F67" s="1"/>
  <c r="F68" s="1"/>
  <c r="D65"/>
  <c r="D66" s="1"/>
  <c r="D67" s="1"/>
  <c r="D68" s="1"/>
  <c r="D22"/>
  <c r="D23" s="1"/>
  <c r="D24" s="1"/>
  <c r="D25" s="1"/>
  <c r="D26" s="1"/>
  <c r="D27" s="1"/>
  <c r="D28" s="1"/>
  <c r="D29" s="1"/>
  <c r="D30" s="1"/>
  <c r="D31" s="1"/>
  <c r="D32" s="1"/>
  <c r="D33" s="1"/>
  <c r="D34" s="1"/>
  <c r="D35" s="1"/>
  <c r="D36" s="1"/>
  <c r="D37" s="1"/>
  <c r="D38" s="1"/>
  <c r="D39" s="1"/>
  <c r="D40" s="1"/>
  <c r="D41" s="1"/>
  <c r="D42" s="1"/>
  <c r="D43" s="1"/>
  <c r="D44" s="1"/>
  <c r="D45" s="1"/>
  <c r="D46" s="1"/>
  <c r="D47" s="1"/>
  <c r="D48" s="1"/>
  <c r="D49" s="1"/>
  <c r="D50" s="1"/>
  <c r="D51" s="1"/>
  <c r="D52" s="1"/>
  <c r="D53" s="1"/>
  <c r="D54" s="1"/>
  <c r="D55" s="1"/>
  <c r="D56" s="1"/>
  <c r="D57" s="1"/>
  <c r="D58" s="1"/>
  <c r="D59" s="1"/>
  <c r="D60" s="1"/>
  <c r="D61" s="1"/>
  <c r="D62" s="1"/>
  <c r="C8"/>
  <c r="B2" i="1"/>
  <c r="B20" s="1"/>
  <c r="A21" s="1"/>
  <c r="C1"/>
  <c r="D1" s="1"/>
  <c r="E1" s="1"/>
  <c r="F1" s="1"/>
  <c r="G1" s="1"/>
  <c r="H1" s="1"/>
  <c r="I1" s="1"/>
  <c r="J1" s="1"/>
  <c r="K1" s="1"/>
  <c r="L1" s="1"/>
  <c r="M1" s="1"/>
  <c r="N1" s="1"/>
  <c r="O1" s="1"/>
  <c r="B10" i="2" l="1"/>
  <c r="C10" s="1"/>
  <c r="C2" i="1"/>
  <c r="A4" s="1"/>
  <c r="A3"/>
  <c r="E2"/>
  <c r="M2"/>
  <c r="I2"/>
  <c r="P1"/>
  <c r="O2"/>
  <c r="L2"/>
  <c r="H2"/>
  <c r="D2"/>
  <c r="N2"/>
  <c r="J2"/>
  <c r="F2"/>
  <c r="K2"/>
  <c r="G2"/>
  <c r="B11" i="2" l="1"/>
  <c r="C11" s="1"/>
  <c r="C20" i="1"/>
  <c r="A22" s="1"/>
  <c r="E20"/>
  <c r="A24" s="1"/>
  <c r="A6"/>
  <c r="A8"/>
  <c r="G20"/>
  <c r="A26" s="1"/>
  <c r="A16"/>
  <c r="O20"/>
  <c r="A34" s="1"/>
  <c r="A11"/>
  <c r="J20"/>
  <c r="A29" s="1"/>
  <c r="A7"/>
  <c r="F20"/>
  <c r="A25" s="1"/>
  <c r="A9"/>
  <c r="H20"/>
  <c r="A27" s="1"/>
  <c r="A10"/>
  <c r="I20"/>
  <c r="A28" s="1"/>
  <c r="A15"/>
  <c r="N20"/>
  <c r="A33" s="1"/>
  <c r="A13"/>
  <c r="L20"/>
  <c r="A31" s="1"/>
  <c r="A12"/>
  <c r="K20"/>
  <c r="A30" s="1"/>
  <c r="A5"/>
  <c r="D20"/>
  <c r="A23" s="1"/>
  <c r="A14"/>
  <c r="M20"/>
  <c r="A32" s="1"/>
  <c r="Q1"/>
  <c r="Q2" s="1"/>
  <c r="P2"/>
  <c r="B12" i="2" l="1"/>
  <c r="B13" s="1"/>
  <c r="C12"/>
  <c r="A17" i="1"/>
  <c r="P20"/>
  <c r="A35" s="1"/>
  <c r="A18"/>
  <c r="Q20"/>
  <c r="A36" s="1"/>
  <c r="B14" i="2" l="1"/>
  <c r="C13"/>
  <c r="C14" l="1"/>
  <c r="B15"/>
  <c r="C15" l="1"/>
  <c r="B16"/>
  <c r="C16" l="1"/>
  <c r="B17"/>
  <c r="B18" l="1"/>
  <c r="C17"/>
  <c r="C18" l="1"/>
  <c r="B19"/>
  <c r="B20" l="1"/>
  <c r="C19"/>
  <c r="C20" l="1"/>
  <c r="B21"/>
  <c r="B22" l="1"/>
  <c r="C21"/>
  <c r="C22" l="1"/>
  <c r="B23"/>
  <c r="C23" l="1"/>
  <c r="B24"/>
  <c r="B25" l="1"/>
  <c r="C24"/>
  <c r="B26" l="1"/>
  <c r="C25"/>
  <c r="C26" l="1"/>
  <c r="B27"/>
  <c r="C27" l="1"/>
  <c r="B28"/>
  <c r="C28" l="1"/>
  <c r="B29"/>
  <c r="B30" l="1"/>
  <c r="C29"/>
  <c r="C30" l="1"/>
  <c r="B31"/>
  <c r="C31" l="1"/>
  <c r="B32"/>
  <c r="C32" l="1"/>
  <c r="B33"/>
  <c r="B34" l="1"/>
  <c r="C33"/>
  <c r="B35" l="1"/>
  <c r="C34"/>
  <c r="C35" l="1"/>
  <c r="B36"/>
  <c r="C36" l="1"/>
  <c r="B37"/>
  <c r="B38" l="1"/>
  <c r="C37"/>
  <c r="B39" l="1"/>
  <c r="C38"/>
  <c r="C39" l="1"/>
  <c r="B40"/>
  <c r="C40" l="1"/>
  <c r="B41"/>
  <c r="B42" l="1"/>
  <c r="C41"/>
  <c r="B43" l="1"/>
  <c r="C42"/>
  <c r="C43" l="1"/>
  <c r="B44"/>
  <c r="C44" l="1"/>
  <c r="B45"/>
  <c r="B46" l="1"/>
  <c r="C45"/>
  <c r="B47" l="1"/>
  <c r="C46"/>
  <c r="C47" l="1"/>
  <c r="B48"/>
  <c r="C48" l="1"/>
  <c r="B49"/>
  <c r="B50" l="1"/>
  <c r="C49"/>
  <c r="B51" l="1"/>
  <c r="C50"/>
  <c r="C51" l="1"/>
  <c r="B52"/>
  <c r="C52" l="1"/>
  <c r="B53"/>
  <c r="B54" l="1"/>
  <c r="C53"/>
  <c r="B55" l="1"/>
  <c r="C54"/>
  <c r="C55" l="1"/>
  <c r="B56"/>
  <c r="C56" l="1"/>
  <c r="B57"/>
  <c r="B58" l="1"/>
  <c r="C57"/>
  <c r="B59" l="1"/>
  <c r="C58"/>
  <c r="C59" l="1"/>
  <c r="B60"/>
  <c r="C60" l="1"/>
  <c r="B61"/>
  <c r="B62" l="1"/>
  <c r="C61"/>
  <c r="C62" l="1"/>
  <c r="B63"/>
  <c r="B64" l="1"/>
  <c r="C63"/>
  <c r="C64" l="1"/>
  <c r="B65"/>
  <c r="B66" l="1"/>
  <c r="C65"/>
  <c r="B67" l="1"/>
  <c r="C66"/>
  <c r="B68" l="1"/>
  <c r="C67"/>
  <c r="B69" l="1"/>
  <c r="C68"/>
  <c r="B70" l="1"/>
  <c r="C69"/>
  <c r="C70" l="1"/>
  <c r="B71"/>
  <c r="B72" s="1"/>
  <c r="B73" s="1"/>
  <c r="B74" l="1"/>
  <c r="C73"/>
  <c r="C72"/>
  <c r="C71"/>
  <c r="B75" l="1"/>
  <c r="C74"/>
  <c r="C75" l="1"/>
  <c r="B76"/>
  <c r="C76" l="1"/>
  <c r="B77"/>
  <c r="B78" l="1"/>
  <c r="C77"/>
  <c r="B79" l="1"/>
  <c r="C78"/>
  <c r="C79" l="1"/>
  <c r="B80"/>
  <c r="C80" l="1"/>
  <c r="B81"/>
  <c r="B82" l="1"/>
  <c r="C81"/>
  <c r="B83" l="1"/>
  <c r="C82"/>
  <c r="C83" l="1"/>
  <c r="B84"/>
  <c r="C84" l="1"/>
  <c r="B85"/>
  <c r="B86" l="1"/>
  <c r="C85"/>
  <c r="B87" l="1"/>
  <c r="C86"/>
  <c r="C87" l="1"/>
  <c r="B88"/>
  <c r="C88" l="1"/>
  <c r="B89"/>
  <c r="B90" l="1"/>
  <c r="C89"/>
  <c r="B91" l="1"/>
  <c r="C90"/>
  <c r="C91" l="1"/>
  <c r="B92"/>
  <c r="C92" l="1"/>
  <c r="B93"/>
  <c r="B94" l="1"/>
  <c r="C93"/>
  <c r="B95" l="1"/>
  <c r="C94"/>
  <c r="C95" l="1"/>
  <c r="B96"/>
  <c r="C96" l="1"/>
  <c r="B97"/>
  <c r="B98" l="1"/>
  <c r="C97"/>
  <c r="B99" l="1"/>
  <c r="C98"/>
  <c r="C99" l="1"/>
  <c r="B100"/>
  <c r="B101" l="1"/>
  <c r="C100"/>
  <c r="B102" l="1"/>
  <c r="C101"/>
  <c r="B103" l="1"/>
  <c r="C102"/>
  <c r="C103" l="1"/>
  <c r="B104"/>
  <c r="B105" l="1"/>
  <c r="C104"/>
  <c r="B106" l="1"/>
  <c r="C105"/>
  <c r="B107" l="1"/>
  <c r="C106"/>
  <c r="C107" l="1"/>
  <c r="B108"/>
  <c r="B109" l="1"/>
  <c r="C108"/>
  <c r="B110" l="1"/>
  <c r="C109"/>
  <c r="C110" l="1"/>
  <c r="B111"/>
  <c r="C111" l="1"/>
  <c r="B112"/>
  <c r="B113" l="1"/>
  <c r="C112"/>
  <c r="B114" l="1"/>
  <c r="C113"/>
  <c r="C114" l="1"/>
  <c r="B115"/>
  <c r="C115" l="1"/>
  <c r="B116"/>
  <c r="B117" l="1"/>
  <c r="C116"/>
  <c r="B118" l="1"/>
  <c r="C117"/>
  <c r="B119" l="1"/>
  <c r="C118"/>
  <c r="C119" l="1"/>
  <c r="B120"/>
  <c r="B121" l="1"/>
  <c r="C120"/>
  <c r="C121" l="1"/>
  <c r="B122"/>
  <c r="C122" l="1"/>
  <c r="B123"/>
  <c r="C123" l="1"/>
  <c r="B124"/>
  <c r="B125" l="1"/>
  <c r="C124"/>
  <c r="B126" l="1"/>
  <c r="C125"/>
  <c r="B127" l="1"/>
  <c r="C126"/>
  <c r="C127" l="1"/>
  <c r="B128"/>
  <c r="B129" l="1"/>
  <c r="C128"/>
  <c r="B130" l="1"/>
  <c r="C129"/>
  <c r="B131" l="1"/>
  <c r="C130"/>
  <c r="B132" l="1"/>
  <c r="C131"/>
  <c r="B133" l="1"/>
  <c r="C132"/>
  <c r="B134" l="1"/>
  <c r="C133"/>
  <c r="B135" l="1"/>
  <c r="C134"/>
  <c r="B136" l="1"/>
  <c r="C135"/>
  <c r="B137" l="1"/>
  <c r="C136"/>
  <c r="B138" l="1"/>
  <c r="C137"/>
  <c r="B139" l="1"/>
  <c r="C138"/>
  <c r="B140" l="1"/>
  <c r="C139"/>
  <c r="B141" l="1"/>
  <c r="C140"/>
  <c r="B142" l="1"/>
  <c r="C141"/>
  <c r="B143" l="1"/>
  <c r="C142"/>
  <c r="B144" l="1"/>
  <c r="C143"/>
  <c r="B145" l="1"/>
  <c r="C144"/>
  <c r="B146" l="1"/>
  <c r="C145"/>
  <c r="B147" l="1"/>
  <c r="C146"/>
  <c r="B148" l="1"/>
  <c r="C147"/>
  <c r="B149" l="1"/>
  <c r="C148"/>
  <c r="B150" l="1"/>
  <c r="C149"/>
  <c r="C150" l="1"/>
  <c r="B151"/>
  <c r="B152" l="1"/>
  <c r="C151"/>
  <c r="C152" l="1"/>
  <c r="B153"/>
  <c r="B154" l="1"/>
  <c r="C153"/>
  <c r="C154" l="1"/>
  <c r="B155"/>
  <c r="B156" l="1"/>
  <c r="C155"/>
  <c r="B157" l="1"/>
  <c r="C156"/>
  <c r="B158" l="1"/>
  <c r="C157"/>
  <c r="B159" l="1"/>
  <c r="C158"/>
  <c r="C159" l="1"/>
  <c r="B160"/>
  <c r="B161" l="1"/>
  <c r="C160"/>
  <c r="B162" l="1"/>
  <c r="C161"/>
  <c r="B163" l="1"/>
  <c r="C162"/>
  <c r="B164" l="1"/>
  <c r="C163"/>
  <c r="C164" l="1"/>
  <c r="B165"/>
  <c r="B166" l="1"/>
  <c r="C165"/>
  <c r="B167" l="1"/>
  <c r="C166"/>
  <c r="B168" l="1"/>
  <c r="C167"/>
  <c r="B169" l="1"/>
  <c r="C168"/>
  <c r="B170" l="1"/>
  <c r="C169"/>
  <c r="C170" l="1"/>
  <c r="B171"/>
  <c r="B172" l="1"/>
  <c r="C171"/>
  <c r="B173" l="1"/>
  <c r="C172"/>
  <c r="B174" l="1"/>
  <c r="C173"/>
  <c r="B175" l="1"/>
  <c r="C174"/>
  <c r="B176" l="1"/>
  <c r="C175"/>
  <c r="B177" l="1"/>
  <c r="C176"/>
  <c r="B178" l="1"/>
  <c r="C177"/>
  <c r="B179" l="1"/>
  <c r="C178"/>
  <c r="B180" l="1"/>
  <c r="C179"/>
  <c r="B181" l="1"/>
  <c r="C180"/>
  <c r="B182" l="1"/>
  <c r="C181"/>
  <c r="C182" l="1"/>
  <c r="C183" l="1"/>
  <c r="B184"/>
  <c r="B185" l="1"/>
  <c r="C184"/>
  <c r="C185" l="1"/>
  <c r="B186"/>
  <c r="C186" l="1"/>
  <c r="B187"/>
  <c r="B188" l="1"/>
  <c r="C187"/>
  <c r="B189" l="1"/>
  <c r="C188"/>
  <c r="B190" l="1"/>
  <c r="C189"/>
  <c r="C190" l="1"/>
  <c r="B191"/>
  <c r="B192" l="1"/>
  <c r="C191"/>
  <c r="C192" l="1"/>
  <c r="B193"/>
  <c r="C193" l="1"/>
  <c r="B194"/>
  <c r="C194" l="1"/>
  <c r="B195"/>
  <c r="B196" l="1"/>
  <c r="C195"/>
  <c r="C196" l="1"/>
  <c r="B197"/>
  <c r="B198" l="1"/>
  <c r="C197"/>
  <c r="C198" l="1"/>
  <c r="B199"/>
  <c r="B200" l="1"/>
  <c r="C199"/>
  <c r="C200" l="1"/>
  <c r="B201"/>
  <c r="C201" l="1"/>
  <c r="B202"/>
  <c r="C202" l="1"/>
  <c r="B203"/>
  <c r="B204" l="1"/>
  <c r="C203"/>
  <c r="B205" l="1"/>
  <c r="C204"/>
  <c r="C205" l="1"/>
  <c r="B206"/>
  <c r="C206" l="1"/>
  <c r="B207"/>
  <c r="B208" l="1"/>
  <c r="C207"/>
  <c r="B209" l="1"/>
  <c r="C208"/>
  <c r="B210" l="1"/>
  <c r="C209"/>
  <c r="C210" l="1"/>
  <c r="B211"/>
  <c r="B212" l="1"/>
  <c r="C211"/>
  <c r="B213" l="1"/>
  <c r="C212"/>
  <c r="B214" l="1"/>
  <c r="C213"/>
  <c r="C214" l="1"/>
  <c r="B215"/>
  <c r="B216" l="1"/>
  <c r="C215"/>
  <c r="B217" l="1"/>
  <c r="C216"/>
  <c r="C217" l="1"/>
  <c r="B218"/>
  <c r="C218" l="1"/>
  <c r="B219"/>
  <c r="B220" l="1"/>
  <c r="C219"/>
  <c r="C220" l="1"/>
  <c r="B221"/>
  <c r="C221" l="1"/>
  <c r="B222"/>
  <c r="C222" l="1"/>
  <c r="B223"/>
  <c r="B224" l="1"/>
  <c r="C223"/>
  <c r="B225" l="1"/>
  <c r="C224"/>
  <c r="C225" l="1"/>
  <c r="B226"/>
  <c r="C226" l="1"/>
  <c r="B227"/>
  <c r="B228" l="1"/>
  <c r="C227"/>
  <c r="B229" l="1"/>
  <c r="C228"/>
  <c r="C229" l="1"/>
  <c r="B230"/>
  <c r="C230" l="1"/>
  <c r="B231"/>
  <c r="B232" l="1"/>
  <c r="C231"/>
  <c r="C232" l="1"/>
  <c r="B233"/>
  <c r="C233" l="1"/>
  <c r="B234"/>
  <c r="C234" l="1"/>
  <c r="B235"/>
  <c r="B236" l="1"/>
  <c r="C235"/>
  <c r="C236" l="1"/>
  <c r="B237"/>
  <c r="C237" l="1"/>
  <c r="B238"/>
  <c r="B239" l="1"/>
  <c r="C238"/>
  <c r="B240" l="1"/>
  <c r="C239"/>
  <c r="B241" l="1"/>
  <c r="C240"/>
  <c r="B242" l="1"/>
  <c r="C241"/>
  <c r="B243" l="1"/>
  <c r="C242"/>
  <c r="B244" l="1"/>
  <c r="C243"/>
  <c r="B245" l="1"/>
  <c r="C244"/>
  <c r="B246" l="1"/>
  <c r="B247" s="1"/>
  <c r="C245"/>
  <c r="C246" l="1"/>
  <c r="C247" l="1"/>
  <c r="B248"/>
  <c r="B249" s="1"/>
  <c r="C248" l="1"/>
  <c r="B250" l="1"/>
  <c r="C249"/>
  <c r="C250" l="1"/>
  <c r="B251"/>
  <c r="B252" l="1"/>
  <c r="C251"/>
  <c r="C252" l="1"/>
  <c r="B253"/>
  <c r="C253" l="1"/>
  <c r="B254"/>
  <c r="B255" l="1"/>
  <c r="C254"/>
  <c r="C255" l="1"/>
  <c r="B256"/>
  <c r="C256" l="1"/>
  <c r="B257"/>
  <c r="B258" l="1"/>
  <c r="C257"/>
  <c r="C258" l="1"/>
  <c r="B259"/>
  <c r="C259" l="1"/>
  <c r="B260"/>
  <c r="B261" l="1"/>
  <c r="C260"/>
  <c r="C261" l="1"/>
  <c r="B262"/>
  <c r="B263" l="1"/>
  <c r="C262"/>
  <c r="B264" l="1"/>
  <c r="C263"/>
  <c r="C264" l="1"/>
  <c r="B265"/>
  <c r="B266" l="1"/>
  <c r="C265"/>
  <c r="C266" l="1"/>
  <c r="B267"/>
  <c r="C267" l="1"/>
  <c r="B268"/>
  <c r="B269" l="1"/>
  <c r="C268"/>
  <c r="B270" l="1"/>
  <c r="C269"/>
  <c r="B271" l="1"/>
  <c r="C270"/>
  <c r="B272" l="1"/>
  <c r="C271"/>
  <c r="B273" l="1"/>
  <c r="C272"/>
  <c r="B274" l="1"/>
  <c r="C273"/>
  <c r="B275" l="1"/>
  <c r="C274"/>
  <c r="B276" l="1"/>
  <c r="C275"/>
  <c r="B277" l="1"/>
  <c r="C276"/>
  <c r="B278" l="1"/>
  <c r="C278" s="1"/>
  <c r="C277"/>
  <c r="B279" l="1"/>
  <c r="C279" l="1"/>
  <c r="B280"/>
  <c r="C280" s="1"/>
  <c r="B281" l="1"/>
  <c r="C281" l="1"/>
  <c r="B282"/>
  <c r="C282" s="1"/>
  <c r="B283" l="1"/>
  <c r="C283" l="1"/>
  <c r="B284"/>
  <c r="C284"/>
  <c r="B285" l="1"/>
  <c r="C285" l="1"/>
  <c r="B286"/>
  <c r="C286" s="1"/>
  <c r="B287" l="1"/>
  <c r="C287" l="1"/>
  <c r="B288"/>
  <c r="C288" s="1"/>
  <c r="B289" l="1"/>
  <c r="C289" l="1"/>
  <c r="B290"/>
  <c r="C290" s="1"/>
  <c r="B291" l="1"/>
  <c r="C291" l="1"/>
  <c r="B292"/>
  <c r="C292" s="1"/>
  <c r="B293" l="1"/>
  <c r="C293" l="1"/>
  <c r="B294"/>
  <c r="C294"/>
  <c r="B295" l="1"/>
  <c r="C295" s="1"/>
  <c r="B296" l="1"/>
  <c r="C296" s="1"/>
  <c r="B297" l="1"/>
  <c r="C297" s="1"/>
  <c r="B298" l="1"/>
  <c r="C298" s="1"/>
  <c r="B299" l="1"/>
  <c r="C299" s="1"/>
  <c r="B300" l="1"/>
  <c r="C300" s="1"/>
  <c r="B301" l="1"/>
  <c r="C301" s="1"/>
  <c r="B302" l="1"/>
  <c r="C302" s="1"/>
  <c r="B303" l="1"/>
  <c r="C303" s="1"/>
  <c r="B304" l="1"/>
  <c r="C304" s="1"/>
  <c r="B305" l="1"/>
  <c r="C305" s="1"/>
  <c r="B306" l="1"/>
  <c r="C306" s="1"/>
  <c r="B307" l="1"/>
  <c r="C307" s="1"/>
  <c r="B308" l="1"/>
  <c r="C308" s="1"/>
  <c r="B309" l="1"/>
  <c r="C309" s="1"/>
  <c r="B310" l="1"/>
  <c r="C310" s="1"/>
  <c r="B311" l="1"/>
  <c r="C311" s="1"/>
  <c r="B312" l="1"/>
  <c r="C312" s="1"/>
  <c r="B313" l="1"/>
  <c r="C313" s="1"/>
  <c r="B314" l="1"/>
  <c r="C314" s="1"/>
  <c r="B315" l="1"/>
  <c r="C315" s="1"/>
  <c r="B316" l="1"/>
  <c r="C316" s="1"/>
  <c r="B317" l="1"/>
  <c r="C317" s="1"/>
  <c r="B318" l="1"/>
  <c r="C318" s="1"/>
  <c r="B319" l="1"/>
  <c r="C319" s="1"/>
  <c r="B320" l="1"/>
  <c r="C320" s="1"/>
  <c r="B321" l="1"/>
  <c r="C321" s="1"/>
  <c r="B322" l="1"/>
  <c r="C322" s="1"/>
  <c r="B323" l="1"/>
  <c r="C323" s="1"/>
  <c r="B324" l="1"/>
  <c r="C324" s="1"/>
  <c r="B325" l="1"/>
  <c r="C325" s="1"/>
  <c r="B326" l="1"/>
  <c r="C326" s="1"/>
  <c r="B327" l="1"/>
  <c r="C327" s="1"/>
  <c r="B328" l="1"/>
  <c r="C328" s="1"/>
  <c r="B329" l="1"/>
  <c r="C329" s="1"/>
  <c r="B330" l="1"/>
  <c r="C330" s="1"/>
  <c r="B331" l="1"/>
  <c r="C331" s="1"/>
  <c r="B332" l="1"/>
  <c r="C332" s="1"/>
  <c r="B333" l="1"/>
  <c r="C333" s="1"/>
  <c r="B334" l="1"/>
  <c r="C334" s="1"/>
  <c r="B335" l="1"/>
  <c r="C335" s="1"/>
  <c r="B336" l="1"/>
  <c r="C336" s="1"/>
  <c r="B337" l="1"/>
  <c r="C337" s="1"/>
  <c r="B338" l="1"/>
  <c r="C338" s="1"/>
  <c r="B339" l="1"/>
  <c r="C339" s="1"/>
  <c r="B340" l="1"/>
  <c r="C340" s="1"/>
  <c r="B341" l="1"/>
  <c r="C341" s="1"/>
  <c r="B342" l="1"/>
  <c r="C342" s="1"/>
  <c r="B343" l="1"/>
  <c r="C343" s="1"/>
  <c r="B344" l="1"/>
  <c r="C344" s="1"/>
  <c r="B345" l="1"/>
  <c r="C345" s="1"/>
  <c r="B346" l="1"/>
  <c r="C346" s="1"/>
  <c r="B347" l="1"/>
  <c r="C347" s="1"/>
  <c r="B348" l="1"/>
  <c r="C348" s="1"/>
  <c r="B349" l="1"/>
  <c r="C349" s="1"/>
  <c r="B350" l="1"/>
  <c r="C350" s="1"/>
  <c r="B351" l="1"/>
  <c r="C351" s="1"/>
  <c r="B352" l="1"/>
  <c r="C352" s="1"/>
  <c r="B353" l="1"/>
  <c r="C353" s="1"/>
  <c r="B354" l="1"/>
  <c r="C354" s="1"/>
  <c r="B355" l="1"/>
  <c r="C355" s="1"/>
  <c r="B356" l="1"/>
  <c r="C356" s="1"/>
  <c r="B357" l="1"/>
  <c r="C357" s="1"/>
  <c r="C358" l="1"/>
  <c r="B359" l="1"/>
  <c r="C359" s="1"/>
  <c r="B360" l="1"/>
  <c r="C360" s="1"/>
  <c r="B361" l="1"/>
  <c r="C361" l="1"/>
  <c r="B362"/>
  <c r="B363" l="1"/>
  <c r="C362"/>
  <c r="C363" l="1"/>
  <c r="B364"/>
  <c r="C364" l="1"/>
  <c r="B365"/>
  <c r="C365" l="1"/>
  <c r="B366"/>
  <c r="C366" l="1"/>
  <c r="B367"/>
  <c r="C367" l="1"/>
  <c r="B368"/>
  <c r="C368" l="1"/>
  <c r="B369"/>
  <c r="C369" l="1"/>
  <c r="B370"/>
  <c r="C370" l="1"/>
  <c r="B371"/>
  <c r="C371" l="1"/>
  <c r="B372"/>
  <c r="C372" l="1"/>
  <c r="B373"/>
  <c r="C373" l="1"/>
  <c r="B374"/>
  <c r="C374" l="1"/>
  <c r="B375"/>
  <c r="C375" l="1"/>
  <c r="B376"/>
  <c r="C376" l="1"/>
  <c r="B377"/>
  <c r="C377" l="1"/>
  <c r="B378"/>
  <c r="C378" l="1"/>
  <c r="B379"/>
  <c r="C379" l="1"/>
  <c r="B380"/>
  <c r="C380" l="1"/>
  <c r="B381"/>
  <c r="C381" l="1"/>
  <c r="B382"/>
  <c r="C382" l="1"/>
  <c r="B383"/>
  <c r="C383" l="1"/>
  <c r="B384"/>
  <c r="C384" l="1"/>
  <c r="B385"/>
  <c r="C385" l="1"/>
  <c r="B386"/>
  <c r="C386" l="1"/>
  <c r="B387"/>
  <c r="C387" l="1"/>
  <c r="B388"/>
  <c r="C388" l="1"/>
  <c r="B389"/>
  <c r="C389" l="1"/>
  <c r="B390"/>
  <c r="C390" l="1"/>
  <c r="B391"/>
  <c r="C391" l="1"/>
  <c r="B392"/>
  <c r="C392" l="1"/>
  <c r="B393"/>
  <c r="C393" l="1"/>
  <c r="B394"/>
  <c r="C394" l="1"/>
  <c r="B395"/>
  <c r="C395" l="1"/>
  <c r="B396"/>
  <c r="C396" l="1"/>
  <c r="B397"/>
  <c r="C397" l="1"/>
  <c r="B398"/>
  <c r="C398" l="1"/>
  <c r="B399"/>
  <c r="C399" l="1"/>
  <c r="B400"/>
  <c r="C400" l="1"/>
  <c r="B401"/>
  <c r="C401" l="1"/>
  <c r="B402"/>
  <c r="C402" l="1"/>
  <c r="B403"/>
  <c r="C403" l="1"/>
  <c r="B404"/>
  <c r="C404" l="1"/>
  <c r="B405"/>
  <c r="C405" l="1"/>
  <c r="B406"/>
  <c r="C406" l="1"/>
  <c r="B407"/>
  <c r="C407" l="1"/>
  <c r="B408"/>
  <c r="C408" l="1"/>
  <c r="B409"/>
  <c r="C409" l="1"/>
  <c r="B410"/>
  <c r="C410" l="1"/>
  <c r="B411"/>
  <c r="C411" l="1"/>
  <c r="B412"/>
  <c r="C412" l="1"/>
  <c r="B413"/>
  <c r="C413" l="1"/>
  <c r="B414"/>
  <c r="C414" l="1"/>
  <c r="B415"/>
  <c r="C415" l="1"/>
  <c r="B416"/>
  <c r="C416" l="1"/>
  <c r="B417"/>
  <c r="C417" l="1"/>
  <c r="B418"/>
  <c r="C418" l="1"/>
  <c r="B419"/>
  <c r="C419" l="1"/>
  <c r="C420" l="1"/>
  <c r="B421"/>
  <c r="C421" l="1"/>
  <c r="C422" l="1"/>
  <c r="B423"/>
  <c r="C423" l="1"/>
  <c r="B424"/>
  <c r="C424" l="1"/>
  <c r="B425"/>
  <c r="C425" l="1"/>
  <c r="C426" l="1"/>
  <c r="B427"/>
  <c r="C427" l="1"/>
  <c r="B428"/>
  <c r="C428" l="1"/>
  <c r="B429"/>
  <c r="C429" l="1"/>
  <c r="B430"/>
  <c r="C430" l="1"/>
  <c r="B431"/>
  <c r="C431" l="1"/>
  <c r="B432"/>
  <c r="C432" l="1"/>
  <c r="B433"/>
  <c r="C433" l="1"/>
  <c r="B434"/>
  <c r="C434" l="1"/>
  <c r="B435"/>
  <c r="C435" l="1"/>
  <c r="B436"/>
  <c r="C436" l="1"/>
  <c r="B437"/>
  <c r="C437" l="1"/>
  <c r="B438"/>
  <c r="C438" l="1"/>
  <c r="B439"/>
  <c r="C439" l="1"/>
  <c r="B440"/>
  <c r="C440" l="1"/>
  <c r="B441"/>
  <c r="C441" l="1"/>
  <c r="B442"/>
  <c r="C442" l="1"/>
  <c r="B443"/>
  <c r="C443" l="1"/>
  <c r="B444"/>
  <c r="C444" l="1"/>
  <c r="B445"/>
  <c r="C445" l="1"/>
  <c r="B446"/>
  <c r="C446" l="1"/>
  <c r="B447"/>
  <c r="C447" l="1"/>
  <c r="B448"/>
  <c r="C448" l="1"/>
  <c r="B449"/>
  <c r="C449" l="1"/>
  <c r="B450"/>
  <c r="C450" l="1"/>
  <c r="B451"/>
  <c r="C451" l="1"/>
  <c r="B452"/>
  <c r="C452" l="1"/>
  <c r="B453"/>
  <c r="C453" l="1"/>
  <c r="B454"/>
  <c r="C454" l="1"/>
  <c r="C455" l="1"/>
  <c r="B456"/>
  <c r="C456" l="1"/>
  <c r="B457"/>
  <c r="C457" l="1"/>
  <c r="B458"/>
  <c r="C458" l="1"/>
  <c r="B459"/>
  <c r="C459" l="1"/>
  <c r="B460"/>
  <c r="C460" l="1"/>
  <c r="B461"/>
  <c r="C461" l="1"/>
  <c r="B462"/>
  <c r="C462" l="1"/>
  <c r="B463"/>
  <c r="C463" l="1"/>
  <c r="B464"/>
  <c r="C464" l="1"/>
  <c r="B465"/>
  <c r="C465" l="1"/>
  <c r="B466"/>
  <c r="C466" l="1"/>
  <c r="B467"/>
  <c r="C467" l="1"/>
  <c r="B468"/>
  <c r="C468" l="1"/>
  <c r="B469"/>
  <c r="C469" l="1"/>
  <c r="B470"/>
  <c r="C470" l="1"/>
  <c r="C471" l="1"/>
  <c r="B472"/>
  <c r="C472" l="1"/>
  <c r="B473"/>
  <c r="C473" l="1"/>
  <c r="B474"/>
  <c r="C474" l="1"/>
  <c r="B475"/>
  <c r="C475" l="1"/>
  <c r="B476"/>
  <c r="C476" l="1"/>
  <c r="B477"/>
  <c r="C477" l="1"/>
  <c r="B478"/>
  <c r="C478" l="1"/>
  <c r="B479"/>
  <c r="C479" l="1"/>
  <c r="B480"/>
  <c r="C480" l="1"/>
  <c r="B481"/>
  <c r="C481" l="1"/>
  <c r="B482"/>
  <c r="C482" l="1"/>
  <c r="B483"/>
  <c r="C483" l="1"/>
  <c r="B484"/>
  <c r="C484" l="1"/>
  <c r="B485"/>
  <c r="C485" l="1"/>
  <c r="B486"/>
  <c r="C486" l="1"/>
  <c r="B487"/>
  <c r="C487" l="1"/>
  <c r="B488"/>
  <c r="C488" l="1"/>
  <c r="B489"/>
  <c r="C489" l="1"/>
  <c r="B490"/>
  <c r="C490" l="1"/>
  <c r="B491"/>
  <c r="C491" l="1"/>
  <c r="B492"/>
  <c r="C492" l="1"/>
  <c r="B493"/>
  <c r="C493" l="1"/>
  <c r="B494"/>
  <c r="C494" l="1"/>
  <c r="B495"/>
  <c r="C495" l="1"/>
  <c r="B496"/>
  <c r="C496" l="1"/>
  <c r="B497"/>
  <c r="C497" l="1"/>
  <c r="B498"/>
  <c r="C498" l="1"/>
  <c r="B499"/>
  <c r="C499" l="1"/>
  <c r="B500"/>
  <c r="C500" l="1"/>
  <c r="B501"/>
  <c r="C501" l="1"/>
  <c r="B502"/>
  <c r="C502" l="1"/>
  <c r="B503"/>
  <c r="C503" l="1"/>
  <c r="B504"/>
  <c r="C504" l="1"/>
  <c r="B505"/>
  <c r="C505" l="1"/>
  <c r="B506"/>
  <c r="C506" l="1"/>
  <c r="B507"/>
  <c r="C507" l="1"/>
  <c r="B508"/>
  <c r="C508" l="1"/>
  <c r="B509"/>
  <c r="C509" l="1"/>
  <c r="B510"/>
  <c r="C510" l="1"/>
  <c r="B511"/>
  <c r="C511" l="1"/>
  <c r="B512"/>
  <c r="C512" l="1"/>
  <c r="B513"/>
  <c r="C513" l="1"/>
  <c r="B514"/>
  <c r="C514" l="1"/>
  <c r="B515"/>
  <c r="C515" l="1"/>
  <c r="B516"/>
  <c r="C516" l="1"/>
  <c r="B517"/>
  <c r="C517" l="1"/>
  <c r="B518"/>
  <c r="C518" l="1"/>
  <c r="B519"/>
  <c r="C519" l="1"/>
  <c r="B520"/>
  <c r="C520" l="1"/>
  <c r="B521"/>
  <c r="C521" l="1"/>
  <c r="B522"/>
  <c r="C522" l="1"/>
  <c r="B523"/>
  <c r="C523" l="1"/>
  <c r="B524"/>
  <c r="C524" l="1"/>
  <c r="B525"/>
  <c r="C525" l="1"/>
  <c r="B526"/>
  <c r="C526" l="1"/>
  <c r="B527"/>
  <c r="C527" l="1"/>
  <c r="B528"/>
  <c r="C528" l="1"/>
  <c r="B529"/>
  <c r="C529" l="1"/>
  <c r="B530"/>
  <c r="C530" l="1"/>
  <c r="B531"/>
  <c r="C531" l="1"/>
  <c r="B532"/>
  <c r="C532" l="1"/>
  <c r="C533" l="1"/>
  <c r="B534"/>
  <c r="C534" l="1"/>
  <c r="B535"/>
  <c r="C535" l="1"/>
  <c r="B536"/>
  <c r="C536" l="1"/>
  <c r="B537"/>
  <c r="C537" l="1"/>
  <c r="B538"/>
  <c r="B539" l="1"/>
  <c r="C538"/>
  <c r="B540" l="1"/>
  <c r="C539"/>
  <c r="C540" l="1"/>
  <c r="B541"/>
  <c r="B542" l="1"/>
  <c r="C541"/>
  <c r="C542" l="1"/>
  <c r="B543"/>
  <c r="C543" l="1"/>
  <c r="B544"/>
  <c r="C544" l="1"/>
  <c r="B545"/>
  <c r="C545" l="1"/>
  <c r="B546"/>
  <c r="C546" l="1"/>
  <c r="B547"/>
  <c r="C547" l="1"/>
  <c r="B548"/>
  <c r="C548" l="1"/>
  <c r="B549"/>
  <c r="C549" l="1"/>
  <c r="B550"/>
  <c r="C550" l="1"/>
  <c r="B551"/>
  <c r="C551" l="1"/>
  <c r="B552"/>
  <c r="C552" l="1"/>
  <c r="B553"/>
  <c r="C553" l="1"/>
  <c r="B554"/>
  <c r="C554" l="1"/>
  <c r="B555"/>
  <c r="C555" l="1"/>
  <c r="B556"/>
  <c r="C556" l="1"/>
  <c r="B557"/>
  <c r="C557" l="1"/>
  <c r="B558"/>
  <c r="C558" l="1"/>
  <c r="B559"/>
  <c r="C559" l="1"/>
  <c r="B560"/>
  <c r="C560" l="1"/>
  <c r="B561"/>
  <c r="C561" l="1"/>
  <c r="B562"/>
  <c r="C562" l="1"/>
  <c r="B563"/>
  <c r="C563" l="1"/>
  <c r="B564"/>
  <c r="C564" l="1"/>
  <c r="B565"/>
  <c r="C565" l="1"/>
  <c r="B566"/>
  <c r="C566" l="1"/>
  <c r="B567"/>
  <c r="C567" l="1"/>
  <c r="B568"/>
  <c r="C568" l="1"/>
  <c r="B569"/>
  <c r="C569" l="1"/>
  <c r="B570"/>
  <c r="C570" l="1"/>
  <c r="B571"/>
  <c r="C571" l="1"/>
  <c r="B572"/>
  <c r="C572" l="1"/>
  <c r="B573"/>
  <c r="C573" l="1"/>
  <c r="B574"/>
  <c r="C574" l="1"/>
  <c r="B575"/>
  <c r="C575" l="1"/>
  <c r="B576"/>
  <c r="C576" l="1"/>
  <c r="B577"/>
  <c r="C577" l="1"/>
  <c r="B578"/>
  <c r="C578" l="1"/>
  <c r="B579"/>
  <c r="C579" l="1"/>
  <c r="B580"/>
  <c r="C580" l="1"/>
  <c r="B581"/>
  <c r="C581" l="1"/>
  <c r="B582"/>
  <c r="C582" l="1"/>
  <c r="B583"/>
  <c r="C583" l="1"/>
  <c r="B584"/>
  <c r="C584" l="1"/>
  <c r="B585"/>
  <c r="C585" l="1"/>
  <c r="B586"/>
  <c r="C586" l="1"/>
  <c r="B587"/>
  <c r="C587" l="1"/>
  <c r="B588"/>
  <c r="C588" l="1"/>
  <c r="B589"/>
  <c r="C589" l="1"/>
  <c r="B590"/>
  <c r="C590" l="1"/>
  <c r="B591"/>
  <c r="C591" l="1"/>
  <c r="B592"/>
  <c r="C592" l="1"/>
  <c r="B593"/>
  <c r="C593" l="1"/>
  <c r="B594"/>
  <c r="C594" l="1"/>
  <c r="B595"/>
  <c r="C595" l="1"/>
  <c r="B596"/>
  <c r="C596" l="1"/>
  <c r="C597" l="1"/>
  <c r="B598"/>
  <c r="C598" l="1"/>
  <c r="B599"/>
  <c r="C599" l="1"/>
  <c r="B600"/>
  <c r="C600" l="1"/>
  <c r="B601"/>
  <c r="C601" l="1"/>
  <c r="B602"/>
  <c r="C602" l="1"/>
  <c r="C603" l="1"/>
  <c r="B604"/>
  <c r="C604" l="1"/>
  <c r="B605"/>
  <c r="C605" l="1"/>
  <c r="B606"/>
  <c r="C606" l="1"/>
  <c r="B607"/>
  <c r="C607" l="1"/>
  <c r="B608"/>
  <c r="C608" l="1"/>
  <c r="B609"/>
  <c r="C609" l="1"/>
  <c r="B610"/>
  <c r="C610" l="1"/>
  <c r="B611"/>
  <c r="C611" l="1"/>
  <c r="B612"/>
  <c r="C612" l="1"/>
  <c r="B613"/>
  <c r="C613" l="1"/>
  <c r="B614"/>
  <c r="C614" l="1"/>
  <c r="B615"/>
  <c r="C615" l="1"/>
  <c r="B616"/>
  <c r="C616" l="1"/>
  <c r="B617"/>
  <c r="C617" l="1"/>
  <c r="B618"/>
  <c r="C618" l="1"/>
  <c r="B619"/>
  <c r="C619" l="1"/>
  <c r="B620"/>
  <c r="C620" l="1"/>
  <c r="B621"/>
  <c r="C621" l="1"/>
  <c r="B622"/>
  <c r="C622" l="1"/>
  <c r="B623"/>
  <c r="C623" l="1"/>
  <c r="B624"/>
  <c r="C624" l="1"/>
  <c r="B625"/>
  <c r="C625" l="1"/>
  <c r="B626"/>
  <c r="C626" l="1"/>
  <c r="B627"/>
  <c r="C627" l="1"/>
  <c r="B628"/>
  <c r="C628" l="1"/>
  <c r="B629"/>
  <c r="C629" l="1"/>
  <c r="C630" l="1"/>
  <c r="B631"/>
  <c r="C631" l="1"/>
  <c r="B632"/>
  <c r="C632" l="1"/>
  <c r="B633"/>
  <c r="C633" l="1"/>
  <c r="C634" l="1"/>
  <c r="B635"/>
  <c r="C635" l="1"/>
  <c r="C636" l="1"/>
  <c r="B637"/>
  <c r="C637" l="1"/>
  <c r="B639" l="1"/>
  <c r="C638"/>
  <c r="C639" l="1"/>
  <c r="C640" l="1"/>
  <c r="B641"/>
  <c r="C641" l="1"/>
  <c r="B643" l="1"/>
  <c r="C642"/>
  <c r="C643" l="1"/>
  <c r="C644" l="1"/>
  <c r="B645"/>
  <c r="C645" l="1"/>
  <c r="B646"/>
  <c r="C646" l="1"/>
  <c r="B647"/>
  <c r="C647" l="1"/>
  <c r="C648" l="1"/>
  <c r="B649"/>
  <c r="B650" l="1"/>
  <c r="C649"/>
  <c r="C650" l="1"/>
  <c r="B651"/>
  <c r="C651" l="1"/>
  <c r="B652"/>
  <c r="C652" l="1"/>
  <c r="B653"/>
  <c r="C653" l="1"/>
  <c r="B654"/>
  <c r="C654" l="1"/>
  <c r="B655"/>
  <c r="C655" l="1"/>
  <c r="B656"/>
  <c r="B657" l="1"/>
  <c r="C656"/>
  <c r="C657" l="1"/>
  <c r="B658"/>
  <c r="C658" l="1"/>
  <c r="B659"/>
  <c r="C659" l="1"/>
  <c r="B660"/>
  <c r="C660" l="1"/>
  <c r="B661"/>
  <c r="C661" l="1"/>
  <c r="B662"/>
  <c r="C662" l="1"/>
  <c r="B663"/>
  <c r="C663" l="1"/>
  <c r="B664"/>
  <c r="C664" l="1"/>
  <c r="B665"/>
  <c r="C665" l="1"/>
  <c r="B666"/>
  <c r="C666" l="1"/>
  <c r="B667"/>
  <c r="C667" l="1"/>
  <c r="B668"/>
  <c r="B669" l="1"/>
  <c r="C668"/>
  <c r="C669" l="1"/>
  <c r="B670"/>
  <c r="C670" l="1"/>
  <c r="B671"/>
  <c r="C671" l="1"/>
  <c r="B672"/>
  <c r="C672" l="1"/>
  <c r="B673"/>
  <c r="B674" l="1"/>
  <c r="C673"/>
  <c r="C674" l="1"/>
  <c r="B675"/>
  <c r="C675" l="1"/>
  <c r="B676"/>
  <c r="C676" l="1"/>
  <c r="B677"/>
  <c r="C677" l="1"/>
  <c r="B678"/>
  <c r="C678" l="1"/>
  <c r="B679"/>
  <c r="C679" l="1"/>
  <c r="B680"/>
  <c r="C680" l="1"/>
  <c r="B681"/>
  <c r="C681" l="1"/>
  <c r="B682"/>
  <c r="C682" l="1"/>
  <c r="B683"/>
  <c r="C683" l="1"/>
  <c r="B684"/>
  <c r="C684" l="1"/>
  <c r="B685"/>
  <c r="C685" l="1"/>
  <c r="B686"/>
  <c r="C686" l="1"/>
  <c r="B687"/>
  <c r="C687" l="1"/>
  <c r="B688"/>
  <c r="C688" l="1"/>
  <c r="B689"/>
  <c r="C689" l="1"/>
  <c r="B690"/>
  <c r="C690" l="1"/>
  <c r="B691"/>
  <c r="C691" l="1"/>
  <c r="B692"/>
  <c r="C692" l="1"/>
  <c r="B693"/>
  <c r="C693" l="1"/>
  <c r="B694"/>
  <c r="C694" l="1"/>
  <c r="B695"/>
  <c r="C695" l="1"/>
  <c r="B696"/>
  <c r="C696" l="1"/>
  <c r="B697"/>
  <c r="C697" l="1"/>
  <c r="B698"/>
  <c r="C698" l="1"/>
  <c r="B699"/>
  <c r="C699" l="1"/>
  <c r="B700"/>
  <c r="C700" l="1"/>
  <c r="B701"/>
  <c r="C701" l="1"/>
  <c r="B702"/>
  <c r="C702" l="1"/>
  <c r="B703"/>
  <c r="C703" l="1"/>
  <c r="B704"/>
  <c r="C704" l="1"/>
  <c r="B705"/>
  <c r="C705" l="1"/>
  <c r="B706"/>
  <c r="C706" l="1"/>
  <c r="B707"/>
  <c r="C707" l="1"/>
  <c r="B710" l="1"/>
  <c r="C710" l="1"/>
  <c r="B711"/>
  <c r="C711" l="1"/>
  <c r="B712"/>
  <c r="C712" l="1"/>
  <c r="B713"/>
  <c r="C713" l="1"/>
  <c r="B714"/>
  <c r="C714" l="1"/>
  <c r="B715"/>
  <c r="C715" s="1"/>
</calcChain>
</file>

<file path=xl/sharedStrings.xml><?xml version="1.0" encoding="utf-8"?>
<sst xmlns="http://schemas.openxmlformats.org/spreadsheetml/2006/main" count="1038" uniqueCount="438">
  <si>
    <t>1st /  2nd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</si>
  <si>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</si>
  <si>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</si>
  <si>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</si>
  <si>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</si>
  <si>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</si>
  <si>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</si>
  <si>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</si>
  <si>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</si>
  <si>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</si>
  <si>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ACOPY</t>
  </si>
  <si>
    <t>AE</t>
  </si>
  <si>
    <t>AI</t>
  </si>
  <si>
    <t>AP</t>
  </si>
  <si>
    <t>AR</t>
  </si>
  <si>
    <t>AT</t>
  </si>
  <si>
    <t>AU</t>
  </si>
  <si>
    <t>AY</t>
  </si>
  <si>
    <t>B0</t>
  </si>
  <si>
    <t>B1</t>
  </si>
  <si>
    <t>B2</t>
  </si>
  <si>
    <t>B4</t>
  </si>
  <si>
    <t>B5</t>
  </si>
  <si>
    <t>B6</t>
  </si>
  <si>
    <t>B7</t>
  </si>
  <si>
    <t>B9</t>
  </si>
  <si>
    <t>BCAPS</t>
  </si>
  <si>
    <t>BCTRL</t>
  </si>
  <si>
    <t>Z80A Opcode</t>
  </si>
  <si>
    <t>A</t>
  </si>
  <si>
    <t>B</t>
  </si>
  <si>
    <t>C</t>
  </si>
  <si>
    <t>D</t>
  </si>
  <si>
    <t>E</t>
  </si>
  <si>
    <t>UPDATE VRAM VS CRTC/GA</t>
  </si>
  <si>
    <t>Test</t>
  </si>
  <si>
    <t>Subset</t>
  </si>
  <si>
    <t>Ref</t>
  </si>
  <si>
    <t>Emulator Sequence : ED XX ED YY</t>
  </si>
  <si>
    <t>Used by SHAKER for Snapshot Ref Code</t>
  </si>
  <si>
    <t>General label test</t>
  </si>
  <si>
    <t>SKEWDISP ON R0 RUPTURE</t>
  </si>
  <si>
    <t>B3</t>
  </si>
  <si>
    <t>C1</t>
  </si>
  <si>
    <t>C2</t>
  </si>
  <si>
    <t>D1</t>
  </si>
  <si>
    <t>D2</t>
  </si>
  <si>
    <t>E1</t>
  </si>
  <si>
    <t>E2</t>
  </si>
  <si>
    <t>F1</t>
  </si>
  <si>
    <t>F2</t>
  </si>
  <si>
    <t>G1</t>
  </si>
  <si>
    <t>G2</t>
  </si>
  <si>
    <t>H1</t>
  </si>
  <si>
    <t>H2</t>
  </si>
  <si>
    <t>I1</t>
  </si>
  <si>
    <t>I2</t>
  </si>
  <si>
    <t>J1</t>
  </si>
  <si>
    <t>J2</t>
  </si>
  <si>
    <t>K1</t>
  </si>
  <si>
    <t>K2</t>
  </si>
  <si>
    <t>L1</t>
  </si>
  <si>
    <t>L2</t>
  </si>
  <si>
    <t>M1</t>
  </si>
  <si>
    <t>M2</t>
  </si>
  <si>
    <t>N1</t>
  </si>
  <si>
    <t>N2</t>
  </si>
  <si>
    <t>O1</t>
  </si>
  <si>
    <t>O2</t>
  </si>
  <si>
    <t>P1</t>
  </si>
  <si>
    <t>P2</t>
  </si>
  <si>
    <t>Q1</t>
  </si>
  <si>
    <t>Q2</t>
  </si>
  <si>
    <t>R1</t>
  </si>
  <si>
    <t>R2</t>
  </si>
  <si>
    <t>S1</t>
  </si>
  <si>
    <t>S2</t>
  </si>
  <si>
    <t>T1</t>
  </si>
  <si>
    <t>T2</t>
  </si>
  <si>
    <t>U1</t>
  </si>
  <si>
    <t>U2</t>
  </si>
  <si>
    <t>V1</t>
  </si>
  <si>
    <t>V2</t>
  </si>
  <si>
    <t>Ref Hexa</t>
  </si>
  <si>
    <t>A10</t>
  </si>
  <si>
    <t>Compendium Reference</t>
  </si>
  <si>
    <t>§ 8</t>
  </si>
  <si>
    <t xml:space="preserve"> § 19.2.3</t>
  </si>
  <si>
    <t>CRTC RVMB</t>
  </si>
  <si>
    <t xml:space="preserve"> § 19.2.4</t>
  </si>
  <si>
    <t xml:space="preserve"> § 19.2.5</t>
  </si>
  <si>
    <t xml:space="preserve"> § 19.2.6</t>
  </si>
  <si>
    <t xml:space="preserve"> § 19.2.7</t>
  </si>
  <si>
    <t>Ref Hexa = XXYY</t>
  </si>
  <si>
    <t>RESERVED</t>
  </si>
  <si>
    <t>UPDATE CRTC R0 TIMING</t>
  </si>
  <si>
    <t>R13 UPDATE IN 4 USEC SCREENS</t>
  </si>
  <si>
    <t>R13 UPDATE IN 2 USEC SCREENS</t>
  </si>
  <si>
    <t>R13 UPDATE IN 1 USEC SCREENS</t>
  </si>
  <si>
    <t>GATE ARRAY PIXELISATION</t>
  </si>
  <si>
    <t>GATE ARRAY INKERISATION</t>
  </si>
  <si>
    <t>CRTC 2 OFFSET</t>
  </si>
  <si>
    <t>GATE ARRAY MODERISATION</t>
  </si>
  <si>
    <t>VSYNC CONDITIONS</t>
  </si>
  <si>
    <t>A0</t>
  </si>
  <si>
    <t>R1 STORIES</t>
  </si>
  <si>
    <t>F</t>
  </si>
  <si>
    <t>G</t>
  </si>
  <si>
    <t>H</t>
  </si>
  <si>
    <t>I</t>
  </si>
  <si>
    <t>R6 STORIES</t>
  </si>
  <si>
    <t>J</t>
  </si>
  <si>
    <t>K</t>
  </si>
  <si>
    <t>MODE UPD &gt; HSYNC DELAY</t>
  </si>
  <si>
    <t>R2 UPD DURING &amp; AFTER HSYNC</t>
  </si>
  <si>
    <t>R4 &amp; R9 CHECKINGS</t>
  </si>
  <si>
    <t>R3 UPD DURING HSYNC</t>
  </si>
  <si>
    <t>VERTICAL SCROLLING SUB-PIXEL 1/8,1/16,1/32,1/64, 1/128</t>
  </si>
  <si>
    <t>R9E7 SETTINGS</t>
  </si>
  <si>
    <t>R9E7 A1</t>
  </si>
  <si>
    <t>R9E7 A2</t>
  </si>
  <si>
    <t>R9E7 B2</t>
  </si>
  <si>
    <t>R9E7 B1</t>
  </si>
  <si>
    <t>R9E7 C1</t>
  </si>
  <si>
    <t>R9E7 C2</t>
  </si>
  <si>
    <t>R9E7 D1</t>
  </si>
  <si>
    <t>R9E7 D2</t>
  </si>
  <si>
    <t>R9E7 E1</t>
  </si>
  <si>
    <t>R9E7 E2</t>
  </si>
  <si>
    <t>R9E7 F1</t>
  </si>
  <si>
    <t>R9E7 F2</t>
  </si>
  <si>
    <t>R9E7 G1</t>
  </si>
  <si>
    <t>R9E7 G2</t>
  </si>
  <si>
    <t>R9E7 H1</t>
  </si>
  <si>
    <t>R9E7 H2</t>
  </si>
  <si>
    <t>R9E7 I1</t>
  </si>
  <si>
    <t>R9E7 J2</t>
  </si>
  <si>
    <t>R9E7 K1</t>
  </si>
  <si>
    <t>R9E7 K2</t>
  </si>
  <si>
    <t>INTERLACE C4/C9 COUNTERS (CRTC 1, 3 , 4)</t>
  </si>
  <si>
    <t>R9E6 SETTINGS</t>
  </si>
  <si>
    <t>R9E6 A1</t>
  </si>
  <si>
    <t>R9E6 A2</t>
  </si>
  <si>
    <t>R9E6 B1</t>
  </si>
  <si>
    <t>R9E6 B2</t>
  </si>
  <si>
    <t>R9E6 C1</t>
  </si>
  <si>
    <t>R9E6 C2</t>
  </si>
  <si>
    <t>R9E6 D1</t>
  </si>
  <si>
    <t>R9E6 D2</t>
  </si>
  <si>
    <t>R9E6 E1</t>
  </si>
  <si>
    <t>R9E6 E2</t>
  </si>
  <si>
    <t>R9E6 F1</t>
  </si>
  <si>
    <t>R9E6 F2</t>
  </si>
  <si>
    <t>R9E6 G1</t>
  </si>
  <si>
    <t>R9E6 G2</t>
  </si>
  <si>
    <t>R9E6 H1</t>
  </si>
  <si>
    <t>R9E6 H2</t>
  </si>
  <si>
    <t>R9E6 I1</t>
  </si>
  <si>
    <t>R9E6 J2</t>
  </si>
  <si>
    <t>R9E6 K1</t>
  </si>
  <si>
    <t>R9E6 K2</t>
  </si>
  <si>
    <t>R9E6-P-ODD SETTINGS</t>
  </si>
  <si>
    <t>R9E6-P-ODD A1</t>
  </si>
  <si>
    <t>R9E6-P-ODD A2</t>
  </si>
  <si>
    <t>R9E6-P-ODD B1</t>
  </si>
  <si>
    <t>R9E6-P-ODD B2</t>
  </si>
  <si>
    <t>R9E6-P-ODD C1</t>
  </si>
  <si>
    <t>R9E6-P-ODD C2</t>
  </si>
  <si>
    <t>R9E6-P-ODD D1</t>
  </si>
  <si>
    <t>R9E6-P-ODD D2</t>
  </si>
  <si>
    <t>R9E6-P-ODD E1</t>
  </si>
  <si>
    <t>R9E6-P-ODD E2</t>
  </si>
  <si>
    <t>R9E6-P-ODD F1</t>
  </si>
  <si>
    <t>R9E6-P-ODD F2</t>
  </si>
  <si>
    <t>R9E6-P-ODD G1</t>
  </si>
  <si>
    <t>R9E6-P-ODD G2</t>
  </si>
  <si>
    <t>R9E6-P-ODD H1</t>
  </si>
  <si>
    <t>R9E6-P-ODD H2</t>
  </si>
  <si>
    <t>R9E6-P-ODD I1</t>
  </si>
  <si>
    <t>R9E6-P-ODD J2</t>
  </si>
  <si>
    <t>R9E6-P-ODD K1</t>
  </si>
  <si>
    <t>R9E6-P-ODD K2</t>
  </si>
  <si>
    <t>INTERLACE C4/C9 COUNTERS (CRTC 0, 2)</t>
  </si>
  <si>
    <t>R9E6-P-EVEN SETTINGS</t>
  </si>
  <si>
    <t>R9E6-P-EVEN A1</t>
  </si>
  <si>
    <t>R9E6-P-EVEN A2</t>
  </si>
  <si>
    <t>R9E6-P-EVEN B1</t>
  </si>
  <si>
    <t>R9E6-P-EVEN B2</t>
  </si>
  <si>
    <t>R9E6-P-EVEN C1</t>
  </si>
  <si>
    <t>R9E6-P-EVEN C2</t>
  </si>
  <si>
    <t>R9E6-P-EVEN D1</t>
  </si>
  <si>
    <t>R9E6-P-EVEN D2</t>
  </si>
  <si>
    <t>R9E6-P-EVEN E1</t>
  </si>
  <si>
    <t>R9E6-P-EVEN E2</t>
  </si>
  <si>
    <t>R9E6-P-EVEN F1</t>
  </si>
  <si>
    <t>R9E6-P-EVEN F2</t>
  </si>
  <si>
    <t>R9E6-P-EVEN G1</t>
  </si>
  <si>
    <t>R9E6-P-EVEN G2</t>
  </si>
  <si>
    <t>R9E6-P-EVEN H1</t>
  </si>
  <si>
    <t>R9E6-P-EVEN H2</t>
  </si>
  <si>
    <t>R9E6-P-EVEN I1</t>
  </si>
  <si>
    <t>R9E6-P-EVEN J2</t>
  </si>
  <si>
    <t>R9E6-P-EVEN K1</t>
  </si>
  <si>
    <t>R9E6-P-EVEN K2</t>
  </si>
  <si>
    <t>R9E57-P-ODD SETTINGS</t>
  </si>
  <si>
    <t>R9E57-P-ODD A1</t>
  </si>
  <si>
    <t>R9E57-P-ODD A2</t>
  </si>
  <si>
    <t>R9E57-P-ODD B1</t>
  </si>
  <si>
    <t>R9E57-P-ODD B2</t>
  </si>
  <si>
    <t>R9E57-P-ODD C1</t>
  </si>
  <si>
    <t>R9E57-P-ODD C2</t>
  </si>
  <si>
    <t>R9E57-P-ODD D1</t>
  </si>
  <si>
    <t>R9E57-P-ODD D2</t>
  </si>
  <si>
    <t>R9E57-P-ODD E1</t>
  </si>
  <si>
    <t>R9E57-P-ODD E2</t>
  </si>
  <si>
    <t>R9E57-P-ODD F1</t>
  </si>
  <si>
    <t>R9E57-P-ODD F2</t>
  </si>
  <si>
    <t>R9E57-P-ODD G1</t>
  </si>
  <si>
    <t>R9E57-P-ODD G2</t>
  </si>
  <si>
    <t>R9E57-P-ODD H1</t>
  </si>
  <si>
    <t>R9E57-P-ODD H2</t>
  </si>
  <si>
    <t>R9E57-P-ODD I1</t>
  </si>
  <si>
    <t>R9E57-P-ODD J2</t>
  </si>
  <si>
    <t>R9E57-P-ODD K1</t>
  </si>
  <si>
    <t>R9E57-P-ODD K2</t>
  </si>
  <si>
    <t>R9E57-P-EVEN SETTINGS</t>
  </si>
  <si>
    <t>R9E57-P-EVEN A1</t>
  </si>
  <si>
    <t>R9E57-P-EVEN A2</t>
  </si>
  <si>
    <t>R9E57-P-EVEN B1</t>
  </si>
  <si>
    <t>R9E57-P-EVEN B2</t>
  </si>
  <si>
    <t>R9E57-P-EVEN C1</t>
  </si>
  <si>
    <t>R9E57-P-EVEN C2</t>
  </si>
  <si>
    <t>R9E57-P-EVEN D1</t>
  </si>
  <si>
    <t>R9E57-P-EVEN D2</t>
  </si>
  <si>
    <t>R9E57-P-EVEN E1</t>
  </si>
  <si>
    <t>R9E57-P-EVEN E2</t>
  </si>
  <si>
    <t>R9E57-P-EVEN F1</t>
  </si>
  <si>
    <t>R9E57-P-EVEN F2</t>
  </si>
  <si>
    <t>R9E57-P-EVEN G1</t>
  </si>
  <si>
    <t>R9E57-P-EVEN G2</t>
  </si>
  <si>
    <t>R9E57-P-EVEN H1</t>
  </si>
  <si>
    <t>R9E57-P-EVEN H2</t>
  </si>
  <si>
    <t>R9E57-P-EVEN I1</t>
  </si>
  <si>
    <t>R9E57-P-EVEN J2</t>
  </si>
  <si>
    <t>R9E57-P-EVEN K1</t>
  </si>
  <si>
    <t>R9E57-P-EVEN K2</t>
  </si>
  <si>
    <t>CRTC 2 STRANGER THING INTERLACE</t>
  </si>
  <si>
    <t>FIND C0 MIN (CRTC 2 NOT EXCLUSIVE)</t>
  </si>
  <si>
    <t>CRTC 2 : RLAL</t>
  </si>
  <si>
    <t>V</t>
  </si>
  <si>
    <t>CRTC 1 : BUG OUTI R0</t>
  </si>
  <si>
    <t>CRTC 0 : BUG OVF C4</t>
  </si>
  <si>
    <t>INTERLACE IVM DELAYS</t>
  </si>
  <si>
    <t>RVNI LTD (NON INVISIBLE VERTICAL RUPTURE)</t>
  </si>
  <si>
    <t>BCOPY</t>
  </si>
  <si>
    <t>CRTC 1 : RFD R5 OTHER TESTS</t>
  </si>
  <si>
    <t>CRTC 1 : R5 SCANNER</t>
  </si>
  <si>
    <t>BF0</t>
  </si>
  <si>
    <t>BOUNGA!</t>
  </si>
  <si>
    <t>BI</t>
  </si>
  <si>
    <t>R3 JIT</t>
  </si>
  <si>
    <t>CRTC 1 IDENTIFIER (1A/1B)</t>
  </si>
  <si>
    <t>BO</t>
  </si>
  <si>
    <t>TYPE-1A</t>
  </si>
  <si>
    <t>TYPE-1B</t>
  </si>
  <si>
    <t>ANALYZER : FIRST TRY TO STAB ON R0=0</t>
  </si>
  <si>
    <t>BP</t>
  </si>
  <si>
    <t>INTERRUPT DELAY FROM R2 (SHAKER KILLER)</t>
  </si>
  <si>
    <t>BR</t>
  </si>
  <si>
    <t>BRETURN</t>
  </si>
  <si>
    <t>R5 STORIES</t>
  </si>
  <si>
    <t>B8</t>
  </si>
  <si>
    <t>B10</t>
  </si>
  <si>
    <t>C3</t>
  </si>
  <si>
    <t>C4</t>
  </si>
  <si>
    <t>C5</t>
  </si>
  <si>
    <t>C6</t>
  </si>
  <si>
    <t>C7</t>
  </si>
  <si>
    <t>C8</t>
  </si>
  <si>
    <t>C9</t>
  </si>
  <si>
    <t>C10</t>
  </si>
  <si>
    <t>BS</t>
  </si>
  <si>
    <t>CRTC 1 : CHECK BE00 STATUS</t>
  </si>
  <si>
    <t>CRTC 0 : R0 = 0</t>
  </si>
  <si>
    <t>L</t>
  </si>
  <si>
    <t>M</t>
  </si>
  <si>
    <t>N</t>
  </si>
  <si>
    <t>O</t>
  </si>
  <si>
    <t>P</t>
  </si>
  <si>
    <t>Q</t>
  </si>
  <si>
    <t>R</t>
  </si>
  <si>
    <t>S</t>
  </si>
  <si>
    <t>BU</t>
  </si>
  <si>
    <t>CRTC 1 : IVM ON ODD C9</t>
  </si>
  <si>
    <t>CRTC 1 : PARITY SWITCH STATUS</t>
  </si>
  <si>
    <t>CRTC 1 : IVM ON/OFF</t>
  </si>
  <si>
    <t>T</t>
  </si>
  <si>
    <t>U</t>
  </si>
  <si>
    <t>W</t>
  </si>
  <si>
    <t>X</t>
  </si>
  <si>
    <t>ZA</t>
  </si>
  <si>
    <t>ZB</t>
  </si>
  <si>
    <t>ZC</t>
  </si>
  <si>
    <t>ZD</t>
  </si>
  <si>
    <t>CRTC 0/2 : PARITY CHECK SELECT</t>
  </si>
  <si>
    <t>CRTC 2 : C9. IVM SWITCH</t>
  </si>
  <si>
    <t>CRTC 2 : LAST LINE CONDITION</t>
  </si>
  <si>
    <t>CRTC 2 : ADD LINE ON PARITY BUG</t>
  </si>
  <si>
    <t>CRTC 2 : ADD LINE REQUEST &amp; TRIGGER (!!**!!)</t>
  </si>
  <si>
    <t>CE</t>
  </si>
  <si>
    <t>ADD LINE R5 ON LAST LINE</t>
  </si>
  <si>
    <t>CP</t>
  </si>
  <si>
    <t>ADD LINE R8</t>
  </si>
  <si>
    <t>VSYNC R7 UPDATE (ONLY ON SHAKER 2.2)(see DR)</t>
  </si>
  <si>
    <t>CR</t>
  </si>
  <si>
    <t>CRETURN</t>
  </si>
  <si>
    <t>CT</t>
  </si>
  <si>
    <t>CRTC 2 : VMA' ON R1=0 (OPEN TO OTHER CRTC'S)</t>
  </si>
  <si>
    <t>GHOST VSYNC VERSUS LAST LINE (OPEN TO OTHER CRTC'S)</t>
  </si>
  <si>
    <t>CS</t>
  </si>
  <si>
    <t>R5 &amp; INTERLACE MANAGEMENT</t>
  </si>
  <si>
    <t>CO</t>
  </si>
  <si>
    <t>INTERLACE VSYNC NIGHTMARE</t>
  </si>
  <si>
    <t>CRTC 3/4 PARITY</t>
  </si>
  <si>
    <t>CY</t>
  </si>
  <si>
    <t>DU</t>
  </si>
  <si>
    <t>DI</t>
  </si>
  <si>
    <t>SHAKER KILLER 2</t>
  </si>
  <si>
    <t>VSYNC TORTURE (LOCK MECHANISM)</t>
  </si>
  <si>
    <t>DR</t>
  </si>
  <si>
    <t>DT</t>
  </si>
  <si>
    <t>VSYNC GATE ARRAY</t>
  </si>
  <si>
    <t>DH</t>
  </si>
  <si>
    <t>HSYNC GATE ARRAY</t>
  </si>
  <si>
    <t>CSYNC4 VS 2 X CSYNC2</t>
  </si>
  <si>
    <t>CSYNC NOT RELATED TO R2.JIT</t>
  </si>
  <si>
    <t>D3</t>
  </si>
  <si>
    <t>2XCSYNC RELATIVE</t>
  </si>
  <si>
    <t>D4</t>
  </si>
  <si>
    <t>D5</t>
  </si>
  <si>
    <t>D6</t>
  </si>
  <si>
    <t>D8</t>
  </si>
  <si>
    <t>D7</t>
  </si>
  <si>
    <t>D9</t>
  </si>
  <si>
    <t>D10</t>
  </si>
  <si>
    <t>CSYNC MULTIPLES</t>
  </si>
  <si>
    <t>HARDWARE SCROLL 1 PIXEL MODE 1/0 (NO BUFFERING)</t>
  </si>
  <si>
    <t>R2 OSCILLATION STORY</t>
  </si>
  <si>
    <t>NO HSYNC FOR XX LINES</t>
  </si>
  <si>
    <t>CRTC 1 : RFD ROUND 2</t>
  </si>
  <si>
    <t>CRTC 3/4 STATUS</t>
  </si>
  <si>
    <t>a faire par crtc</t>
  </si>
  <si>
    <t>A1/A</t>
  </si>
  <si>
    <t>B1/B</t>
  </si>
  <si>
    <t>BE/A sur SHAKER 2.2</t>
  </si>
  <si>
    <t>ED FE</t>
  </si>
  <si>
    <t>ED FF</t>
  </si>
  <si>
    <t>SCREENSHOT IN CSL MODE</t>
  </si>
  <si>
    <t>SNAPSHOT IN CSL MODE</t>
  </si>
  <si>
    <t>Ajout (spécifique CRTC 1)</t>
  </si>
  <si>
    <t>crtc 1</t>
  </si>
  <si>
    <t>oubli</t>
  </si>
  <si>
    <t>Y1</t>
  </si>
  <si>
    <t>Y2</t>
  </si>
  <si>
    <t>Z1</t>
  </si>
  <si>
    <t>Z2</t>
  </si>
  <si>
    <t>revoir dans le code a cause des décalages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</si>
  <si>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</si>
  <si>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</si>
  <si>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</si>
  <si>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</si>
  <si>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</si>
  <si>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</si>
  <si>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</si>
  <si>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</si>
  <si>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</si>
  <si>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</si>
  <si>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</si>
  <si>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</si>
  <si>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</si>
  <si>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</si>
  <si>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</si>
  <si>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</si>
  <si>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</si>
  <si>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</si>
  <si>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</si>
  <si>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</si>
  <si>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</si>
  <si>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</si>
  <si>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</si>
  <si>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</si>
  <si>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</si>
  <si>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</si>
  <si>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</si>
  <si>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</si>
  <si>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</si>
  <si>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</si>
  <si>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</si>
  <si>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</si>
  <si>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crtc 0,3,4 only</t>
  </si>
  <si>
    <t>J3</t>
  </si>
  <si>
    <t>J4</t>
  </si>
  <si>
    <t>J5</t>
  </si>
  <si>
    <t>J6</t>
  </si>
  <si>
    <t>J7</t>
  </si>
  <si>
    <t>J8</t>
  </si>
  <si>
    <t>valeur decrochage total</t>
  </si>
  <si>
    <t>1er decrochage mais restab</t>
  </si>
  <si>
    <t>C11</t>
  </si>
  <si>
    <t>A11</t>
  </si>
  <si>
    <t>B11</t>
  </si>
  <si>
    <t>D11</t>
  </si>
  <si>
    <t>V1.0</t>
  </si>
  <si>
    <t>CRTC 0 : LAST LINE LIMITS</t>
  </si>
  <si>
    <t>R9E6-P-ODD I2</t>
  </si>
  <si>
    <t>R9E6-P-ODD J1</t>
  </si>
  <si>
    <t>R9E7 I2</t>
  </si>
  <si>
    <t>R9E7 J1</t>
  </si>
  <si>
    <t>R9E6 I2</t>
  </si>
  <si>
    <t>R9E6 J1</t>
  </si>
  <si>
    <t>R9E6-P-EVEN I2</t>
  </si>
  <si>
    <t>R9E6-P-EVEN J1</t>
  </si>
  <si>
    <t>R9E57-P-ODD I2</t>
  </si>
  <si>
    <t>R9E57-P-ODD J1</t>
  </si>
  <si>
    <t>R9E57-P-EVEN I2</t>
  </si>
  <si>
    <t>R9E57-P-EVEN J1</t>
  </si>
  <si>
    <t>Odd Parity</t>
  </si>
  <si>
    <t>Even Parity</t>
  </si>
  <si>
    <t>DE</t>
  </si>
  <si>
    <t>CRTC 1 : UPD OFF ADD LINE</t>
  </si>
  <si>
    <t>crtc 1 only</t>
  </si>
  <si>
    <t>crtc 0,1,3,4 only</t>
  </si>
  <si>
    <t>all crtc</t>
  </si>
  <si>
    <t>crtc 0,2,3,4 only</t>
  </si>
  <si>
    <t>I3</t>
  </si>
  <si>
    <t>I4</t>
  </si>
  <si>
    <t>I5</t>
  </si>
  <si>
    <t>I6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</si>
</sst>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4" borderId="1" xfId="0" applyFill="1" applyBorder="1"/>
    <xf numFmtId="16" fontId="0" fillId="3" borderId="1" xfId="0" applyNumberFormat="1" applyFill="1" applyBorder="1" applyAlignment="1">
      <alignment horizontal="right"/>
    </xf>
    <xf numFmtId="0" fontId="0" fillId="5" borderId="1" xfId="0" applyFill="1" applyBorder="1"/>
    <xf numFmtId="0" fontId="0" fillId="5" borderId="4" xfId="0" applyFill="1" applyBorder="1" applyAlignment="1">
      <alignment horizontal="center"/>
    </xf>
    <xf numFmtId="0" fontId="0" fillId="0" borderId="5" xfId="0" applyBorder="1"/>
    <xf numFmtId="0" fontId="0" fillId="4" borderId="2" xfId="0" applyFill="1" applyBorder="1"/>
    <xf numFmtId="1" fontId="0" fillId="0" borderId="1" xfId="0" applyNumberFormat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/>
    <xf numFmtId="0" fontId="0" fillId="6" borderId="0" xfId="0" applyFill="1" applyAlignment="1">
      <alignment horizontal="center"/>
    </xf>
    <xf numFmtId="0" fontId="0" fillId="6" borderId="0" xfId="0" applyFill="1"/>
    <xf numFmtId="0" fontId="0" fillId="6" borderId="0" xfId="0" applyFill="1" applyBorder="1"/>
    <xf numFmtId="2" fontId="0" fillId="6" borderId="0" xfId="0" applyNumberFormat="1" applyFill="1"/>
    <xf numFmtId="0" fontId="0" fillId="6" borderId="5" xfId="0" applyFill="1" applyBorder="1"/>
    <xf numFmtId="1" fontId="0" fillId="0" borderId="3" xfId="0" applyNumberFormat="1" applyBorder="1" applyAlignment="1">
      <alignment horizontal="center"/>
    </xf>
    <xf numFmtId="0" fontId="0" fillId="0" borderId="3" xfId="0" applyBorder="1"/>
    <xf numFmtId="0" fontId="0" fillId="6" borderId="1" xfId="0" applyFill="1" applyBorder="1"/>
    <xf numFmtId="0" fontId="0" fillId="0" borderId="1" xfId="0" applyNumberFormat="1" applyBorder="1"/>
    <xf numFmtId="0" fontId="0" fillId="6" borderId="0" xfId="0" applyFill="1" applyAlignment="1">
      <alignment horizontal="left"/>
    </xf>
    <xf numFmtId="0" fontId="0" fillId="0" borderId="0" xfId="0" applyAlignment="1">
      <alignment horizontal="left"/>
    </xf>
    <xf numFmtId="0" fontId="0" fillId="7" borderId="1" xfId="0" applyFill="1" applyBorder="1"/>
    <xf numFmtId="0" fontId="0" fillId="7" borderId="3" xfId="0" applyFill="1" applyBorder="1"/>
    <xf numFmtId="0" fontId="0" fillId="8" borderId="1" xfId="0" applyFill="1" applyBorder="1"/>
    <xf numFmtId="0" fontId="0" fillId="8" borderId="0" xfId="0" applyFill="1" applyAlignment="1">
      <alignment horizontal="center"/>
    </xf>
    <xf numFmtId="0" fontId="0" fillId="0" borderId="6" xfId="0" applyFill="1" applyBorder="1"/>
    <xf numFmtId="0" fontId="0" fillId="0" borderId="7" xfId="0" applyFill="1" applyBorder="1"/>
    <xf numFmtId="0" fontId="0" fillId="6" borderId="8" xfId="0" applyFill="1" applyBorder="1"/>
    <xf numFmtId="14" fontId="0" fillId="6" borderId="9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2"/>
  <sheetViews>
    <sheetView topLeftCell="A10" zoomScaleNormal="100" workbookViewId="0">
      <selection activeCell="G43" sqref="G43"/>
    </sheetView>
  </sheetViews>
  <sheetFormatPr baseColWidth="10" defaultRowHeight="15"/>
  <cols>
    <col min="1" max="1" width="11.42578125" style="1"/>
  </cols>
  <sheetData>
    <row r="1" spans="1:20">
      <c r="B1" s="1">
        <v>0</v>
      </c>
      <c r="C1" s="1">
        <f>B1+1</f>
        <v>1</v>
      </c>
      <c r="D1" s="1">
        <f t="shared" ref="D1:Q1" si="0">C1+1</f>
        <v>2</v>
      </c>
      <c r="E1" s="1">
        <f t="shared" si="0"/>
        <v>3</v>
      </c>
      <c r="F1" s="1">
        <f t="shared" si="0"/>
        <v>4</v>
      </c>
      <c r="G1" s="1">
        <f t="shared" si="0"/>
        <v>5</v>
      </c>
      <c r="H1" s="1">
        <f t="shared" si="0"/>
        <v>6</v>
      </c>
      <c r="I1" s="1">
        <f t="shared" si="0"/>
        <v>7</v>
      </c>
      <c r="J1" s="1">
        <f t="shared" si="0"/>
        <v>8</v>
      </c>
      <c r="K1" s="1">
        <f t="shared" si="0"/>
        <v>9</v>
      </c>
      <c r="L1" s="1">
        <f t="shared" si="0"/>
        <v>10</v>
      </c>
      <c r="M1" s="1">
        <f t="shared" si="0"/>
        <v>11</v>
      </c>
      <c r="N1" s="1">
        <f t="shared" si="0"/>
        <v>12</v>
      </c>
      <c r="O1" s="1">
        <f>N1+1</f>
        <v>13</v>
      </c>
      <c r="P1" s="1">
        <f t="shared" si="0"/>
        <v>14</v>
      </c>
      <c r="Q1" s="1">
        <f t="shared" si="0"/>
        <v>15</v>
      </c>
      <c r="R1" s="13"/>
      <c r="S1" s="14"/>
      <c r="T1" s="14"/>
    </row>
    <row r="2" spans="1:20" s="1" customFormat="1">
      <c r="A2" s="5" t="s">
        <v>0</v>
      </c>
      <c r="B2" s="3" t="str">
        <f>DEC2HEX(B1,1)</f>
        <v>0</v>
      </c>
      <c r="C2" s="3" t="str">
        <f t="shared" ref="C2:Q2" si="1">DEC2HEX(C1,1)</f>
        <v>1</v>
      </c>
      <c r="D2" s="3" t="str">
        <f t="shared" si="1"/>
        <v>2</v>
      </c>
      <c r="E2" s="3" t="str">
        <f t="shared" si="1"/>
        <v>3</v>
      </c>
      <c r="F2" s="3" t="str">
        <f t="shared" si="1"/>
        <v>4</v>
      </c>
      <c r="G2" s="3" t="str">
        <f t="shared" si="1"/>
        <v>5</v>
      </c>
      <c r="H2" s="3" t="str">
        <f t="shared" si="1"/>
        <v>6</v>
      </c>
      <c r="I2" s="3" t="str">
        <f t="shared" si="1"/>
        <v>7</v>
      </c>
      <c r="J2" s="3" t="str">
        <f t="shared" si="1"/>
        <v>8</v>
      </c>
      <c r="K2" s="3" t="str">
        <f t="shared" si="1"/>
        <v>9</v>
      </c>
      <c r="L2" s="3" t="str">
        <f t="shared" si="1"/>
        <v>A</v>
      </c>
      <c r="M2" s="3" t="str">
        <f t="shared" si="1"/>
        <v>B</v>
      </c>
      <c r="N2" s="3" t="str">
        <f t="shared" si="1"/>
        <v>C</v>
      </c>
      <c r="O2" s="3" t="str">
        <f t="shared" si="1"/>
        <v>D</v>
      </c>
      <c r="P2" s="3" t="str">
        <f t="shared" si="1"/>
        <v>E</v>
      </c>
      <c r="Q2" s="3" t="str">
        <f t="shared" si="1"/>
        <v>F</v>
      </c>
      <c r="R2" s="13"/>
      <c r="S2" s="13"/>
      <c r="T2" s="13"/>
    </row>
    <row r="3" spans="1:20">
      <c r="A3" s="3" t="str">
        <f>B2</f>
        <v>0</v>
      </c>
      <c r="B3" s="4"/>
      <c r="C3" s="4"/>
      <c r="D3" s="4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4"/>
      <c r="S3" s="14"/>
      <c r="T3" s="14"/>
    </row>
    <row r="4" spans="1:20">
      <c r="A4" s="3" t="str">
        <f>C2</f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14"/>
      <c r="S4" s="14"/>
      <c r="T4" s="14"/>
    </row>
    <row r="5" spans="1:20">
      <c r="A5" s="3" t="str">
        <f>D2</f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14"/>
      <c r="S5" s="14"/>
      <c r="T5" s="14"/>
    </row>
    <row r="6" spans="1:20">
      <c r="A6" s="3" t="str">
        <f>E2</f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14"/>
      <c r="S6" s="14"/>
      <c r="T6" s="14"/>
    </row>
    <row r="7" spans="1:20">
      <c r="A7" s="3" t="str">
        <f>F2</f>
        <v>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4"/>
      <c r="S7" s="14"/>
      <c r="T7" s="14"/>
    </row>
    <row r="8" spans="1:20">
      <c r="A8" s="3" t="str">
        <f>G2</f>
        <v>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4"/>
      <c r="S8" s="14"/>
      <c r="T8" s="14"/>
    </row>
    <row r="9" spans="1:20">
      <c r="A9" s="3" t="str">
        <f>H2</f>
        <v>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4"/>
      <c r="S9" s="14"/>
      <c r="T9" s="14"/>
    </row>
    <row r="10" spans="1:20">
      <c r="A10" s="3" t="str">
        <f>I2</f>
        <v>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2"/>
      <c r="R10" s="14"/>
      <c r="S10" s="14"/>
    </row>
    <row r="11" spans="1:20">
      <c r="A11" s="3" t="str">
        <f>J2</f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14"/>
      <c r="S11" s="14"/>
    </row>
    <row r="12" spans="1:20">
      <c r="A12" s="3" t="str">
        <f>K2</f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14"/>
      <c r="S12" s="14"/>
    </row>
    <row r="13" spans="1:20">
      <c r="A13" s="3" t="str">
        <f>L2</f>
        <v>A</v>
      </c>
      <c r="B13" s="6"/>
      <c r="C13" s="6"/>
      <c r="D13" s="6"/>
      <c r="E13" s="6"/>
      <c r="F13" s="2"/>
      <c r="G13" s="2"/>
      <c r="H13" s="2"/>
      <c r="I13" s="2"/>
      <c r="J13" s="6"/>
      <c r="K13" s="6"/>
      <c r="L13" s="6"/>
      <c r="M13" s="6"/>
      <c r="N13" s="2"/>
      <c r="O13" s="2"/>
      <c r="P13" s="2"/>
      <c r="Q13" s="2"/>
      <c r="R13" s="14"/>
      <c r="S13" s="14"/>
    </row>
    <row r="14" spans="1:20">
      <c r="A14" s="3" t="str">
        <f>M2</f>
        <v>B</v>
      </c>
      <c r="B14" s="6"/>
      <c r="C14" s="6"/>
      <c r="D14" s="6"/>
      <c r="E14" s="6"/>
      <c r="F14" s="2"/>
      <c r="G14" s="2"/>
      <c r="H14" s="2"/>
      <c r="I14" s="2"/>
      <c r="J14" s="6"/>
      <c r="K14" s="6"/>
      <c r="L14" s="6"/>
      <c r="M14" s="6"/>
      <c r="N14" s="2"/>
      <c r="O14" s="2"/>
      <c r="P14" s="2"/>
      <c r="Q14" s="2"/>
      <c r="R14" s="14"/>
      <c r="S14" s="14"/>
    </row>
    <row r="15" spans="1:20">
      <c r="A15" s="3" t="str">
        <f>N2</f>
        <v>C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14"/>
      <c r="S15" s="14"/>
    </row>
    <row r="16" spans="1:20">
      <c r="A16" s="3" t="str">
        <f>O2</f>
        <v>D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14"/>
      <c r="S16" s="14"/>
    </row>
    <row r="17" spans="1:19">
      <c r="A17" s="3" t="str">
        <f>P2</f>
        <v>E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14"/>
      <c r="S17" s="14"/>
    </row>
    <row r="18" spans="1:19">
      <c r="A18" s="3" t="str">
        <f>Q2</f>
        <v>F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6"/>
      <c r="Q18" s="26"/>
      <c r="R18" s="14"/>
      <c r="S18" s="14"/>
    </row>
    <row r="19" spans="1:19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pans="1:19" s="1" customFormat="1">
      <c r="A20" s="5" t="s">
        <v>0</v>
      </c>
      <c r="B20" s="3" t="str">
        <f>B2</f>
        <v>0</v>
      </c>
      <c r="C20" s="3" t="str">
        <f t="shared" ref="C20:Q20" si="2">C2</f>
        <v>1</v>
      </c>
      <c r="D20" s="3" t="str">
        <f t="shared" si="2"/>
        <v>2</v>
      </c>
      <c r="E20" s="3" t="str">
        <f t="shared" si="2"/>
        <v>3</v>
      </c>
      <c r="F20" s="3" t="str">
        <f t="shared" si="2"/>
        <v>4</v>
      </c>
      <c r="G20" s="3" t="str">
        <f t="shared" si="2"/>
        <v>5</v>
      </c>
      <c r="H20" s="3" t="str">
        <f t="shared" si="2"/>
        <v>6</v>
      </c>
      <c r="I20" s="3" t="str">
        <f t="shared" si="2"/>
        <v>7</v>
      </c>
      <c r="J20" s="3" t="str">
        <f t="shared" si="2"/>
        <v>8</v>
      </c>
      <c r="K20" s="3" t="str">
        <f t="shared" si="2"/>
        <v>9</v>
      </c>
      <c r="L20" s="3" t="str">
        <f t="shared" si="2"/>
        <v>A</v>
      </c>
      <c r="M20" s="3" t="str">
        <f t="shared" si="2"/>
        <v>B</v>
      </c>
      <c r="N20" s="3" t="str">
        <f t="shared" si="2"/>
        <v>C</v>
      </c>
      <c r="O20" s="3" t="str">
        <f t="shared" si="2"/>
        <v>D</v>
      </c>
      <c r="P20" s="3" t="str">
        <f t="shared" si="2"/>
        <v>E</v>
      </c>
      <c r="Q20" s="3" t="str">
        <f t="shared" si="2"/>
        <v>F</v>
      </c>
      <c r="R20" s="13"/>
      <c r="S20" s="13"/>
    </row>
    <row r="21" spans="1:19">
      <c r="A21" s="3" t="str">
        <f>B20</f>
        <v>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14"/>
      <c r="S21" s="14"/>
    </row>
    <row r="22" spans="1:19">
      <c r="A22" s="3" t="str">
        <f>C20</f>
        <v>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14"/>
      <c r="S22" s="14"/>
    </row>
    <row r="23" spans="1:19">
      <c r="A23" s="3" t="str">
        <f>D20</f>
        <v>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14"/>
      <c r="S23" s="14"/>
    </row>
    <row r="24" spans="1:19">
      <c r="A24" s="3" t="str">
        <f>E20</f>
        <v>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14"/>
      <c r="S24" s="14"/>
    </row>
    <row r="25" spans="1:19">
      <c r="A25" s="3" t="str">
        <f>F20</f>
        <v>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14"/>
      <c r="S25" s="14"/>
    </row>
    <row r="26" spans="1:19">
      <c r="A26" s="3" t="str">
        <f>G20</f>
        <v>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14"/>
      <c r="S26" s="14"/>
    </row>
    <row r="27" spans="1:19">
      <c r="A27" s="3" t="str">
        <f>H20</f>
        <v>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14"/>
      <c r="S27" s="14"/>
    </row>
    <row r="28" spans="1:19">
      <c r="A28" s="3" t="str">
        <f>I20</f>
        <v>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4"/>
      <c r="R28" s="14"/>
      <c r="S28" s="14"/>
    </row>
    <row r="29" spans="1:19">
      <c r="A29" s="3" t="str">
        <f>J20</f>
        <v>8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14"/>
      <c r="S29" s="14"/>
    </row>
    <row r="30" spans="1:19">
      <c r="A30" s="3" t="str">
        <f>K20</f>
        <v>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14"/>
      <c r="S30" s="14"/>
    </row>
    <row r="31" spans="1:19">
      <c r="A31" s="3" t="str">
        <f>L20</f>
        <v>A</v>
      </c>
      <c r="B31" s="6"/>
      <c r="C31" s="6"/>
      <c r="D31" s="6"/>
      <c r="E31" s="6"/>
      <c r="F31" s="4"/>
      <c r="G31" s="4"/>
      <c r="H31" s="4"/>
      <c r="I31" s="4"/>
      <c r="J31" s="6"/>
      <c r="K31" s="6"/>
      <c r="L31" s="6"/>
      <c r="M31" s="6"/>
      <c r="N31" s="4"/>
      <c r="O31" s="4"/>
      <c r="P31" s="4"/>
      <c r="Q31" s="4"/>
      <c r="R31" s="14"/>
      <c r="S31" s="14"/>
    </row>
    <row r="32" spans="1:19">
      <c r="A32" s="3" t="str">
        <f>M20</f>
        <v>B</v>
      </c>
      <c r="B32" s="6"/>
      <c r="C32" s="6"/>
      <c r="D32" s="6"/>
      <c r="E32" s="6"/>
      <c r="F32" s="4"/>
      <c r="G32" s="4"/>
      <c r="H32" s="4"/>
      <c r="I32" s="4"/>
      <c r="J32" s="6"/>
      <c r="K32" s="6"/>
      <c r="L32" s="6"/>
      <c r="M32" s="6"/>
      <c r="N32" s="4"/>
      <c r="O32" s="4"/>
      <c r="P32" s="4"/>
      <c r="Q32" s="4"/>
      <c r="R32" s="14"/>
      <c r="S32" s="14"/>
    </row>
    <row r="33" spans="1:19">
      <c r="A33" s="3" t="str">
        <f>N20</f>
        <v>C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14"/>
      <c r="S33" s="14"/>
    </row>
    <row r="34" spans="1:19">
      <c r="A34" s="3" t="str">
        <f>O20</f>
        <v>D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14"/>
      <c r="S34" s="14"/>
    </row>
    <row r="35" spans="1:19">
      <c r="A35" s="3" t="str">
        <f>P20</f>
        <v>E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14"/>
      <c r="S35" s="14"/>
    </row>
    <row r="36" spans="1:19">
      <c r="A36" s="3" t="str">
        <f>Q20</f>
        <v>F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26"/>
      <c r="Q36" s="26"/>
      <c r="R36" s="14"/>
      <c r="S36" s="14"/>
    </row>
    <row r="37" spans="1:19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38" spans="1:19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</row>
    <row r="39" spans="1:19">
      <c r="A39" s="27" t="s">
        <v>355</v>
      </c>
      <c r="B39" s="14" t="s">
        <v>357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</row>
    <row r="40" spans="1:19">
      <c r="A40" s="27" t="s">
        <v>356</v>
      </c>
      <c r="B40" s="14" t="s">
        <v>358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</row>
    <row r="41" spans="1:19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</row>
    <row r="42" spans="1:19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715"/>
  <sheetViews>
    <sheetView tabSelected="1" topLeftCell="A668" workbookViewId="0">
      <selection activeCell="A501" sqref="A501:XFD501"/>
    </sheetView>
  </sheetViews>
  <sheetFormatPr baseColWidth="10" defaultRowHeight="15"/>
  <cols>
    <col min="1" max="1" width="11.42578125" style="23"/>
    <col min="5" max="5" width="26.85546875" customWidth="1"/>
    <col min="6" max="6" width="52.28515625" bestFit="1" customWidth="1"/>
    <col min="7" max="7" width="25.42578125" customWidth="1"/>
  </cols>
  <sheetData>
    <row r="1" spans="1:15" ht="15.75" thickBot="1">
      <c r="A1" s="22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5" ht="15.75" thickBot="1">
      <c r="A2" s="22"/>
      <c r="B2" s="7"/>
      <c r="C2" s="8" t="s">
        <v>28</v>
      </c>
      <c r="D2" s="17"/>
      <c r="E2" s="17"/>
      <c r="F2" s="30" t="s">
        <v>412</v>
      </c>
      <c r="G2" s="14"/>
      <c r="H2" s="14"/>
      <c r="I2" s="14"/>
      <c r="J2" s="14"/>
      <c r="K2" s="14"/>
      <c r="L2" s="14"/>
      <c r="M2" s="14"/>
      <c r="N2" s="14"/>
      <c r="O2" s="14"/>
    </row>
    <row r="3" spans="1:15" ht="15.75" thickBot="1">
      <c r="A3" s="22"/>
      <c r="B3" s="9"/>
      <c r="C3" s="8" t="s">
        <v>39</v>
      </c>
      <c r="D3" s="8"/>
      <c r="E3" s="8"/>
      <c r="F3" s="31">
        <v>45133</v>
      </c>
      <c r="G3" s="14"/>
      <c r="H3" s="14"/>
      <c r="I3" s="14"/>
      <c r="J3" s="14"/>
      <c r="K3" s="14"/>
      <c r="L3" s="14"/>
      <c r="M3" s="14"/>
      <c r="N3" s="14"/>
      <c r="O3" s="14"/>
    </row>
    <row r="4" spans="1:15">
      <c r="A4" s="22"/>
      <c r="B4" s="15" t="s">
        <v>38</v>
      </c>
      <c r="C4" s="15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>
      <c r="A5" s="22"/>
      <c r="B5" s="15" t="s">
        <v>93</v>
      </c>
      <c r="C5" s="15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>
      <c r="A6" s="22"/>
      <c r="B6" s="16" t="s">
        <v>351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>
      <c r="A7" s="22"/>
      <c r="B7" s="11" t="s">
        <v>37</v>
      </c>
      <c r="C7" s="12" t="s">
        <v>83</v>
      </c>
      <c r="D7" s="12" t="s">
        <v>35</v>
      </c>
      <c r="E7" s="12" t="s">
        <v>36</v>
      </c>
      <c r="F7" s="12" t="s">
        <v>40</v>
      </c>
      <c r="G7" s="12" t="s">
        <v>85</v>
      </c>
      <c r="H7" s="14"/>
      <c r="I7" s="14"/>
      <c r="J7" s="14"/>
      <c r="K7" s="14"/>
      <c r="L7" s="14"/>
      <c r="M7" s="14"/>
      <c r="N7" s="14"/>
    </row>
    <row r="8" spans="1:15">
      <c r="A8" s="22"/>
      <c r="B8" s="10">
        <v>0</v>
      </c>
      <c r="C8" s="2" t="str">
        <f>DEC2HEX(B8,4)</f>
        <v>0000</v>
      </c>
      <c r="D8" s="2" t="s">
        <v>94</v>
      </c>
      <c r="E8" s="2"/>
      <c r="F8" s="2"/>
      <c r="G8" s="2"/>
      <c r="H8" s="14"/>
      <c r="I8" s="14"/>
      <c r="J8" s="14"/>
      <c r="K8" s="14"/>
      <c r="L8" s="14"/>
      <c r="M8" s="14"/>
      <c r="N8" s="14"/>
    </row>
    <row r="9" spans="1:15">
      <c r="A9" s="22">
        <v>1</v>
      </c>
      <c r="B9" s="10">
        <f>B8+1</f>
        <v>1</v>
      </c>
      <c r="C9" s="24" t="str">
        <f>DEC2HEX(B9,4)</f>
        <v>0001</v>
      </c>
      <c r="D9" s="2" t="s">
        <v>1</v>
      </c>
      <c r="E9" s="2" t="s">
        <v>29</v>
      </c>
      <c r="F9" s="2" t="s">
        <v>34</v>
      </c>
      <c r="G9" s="2" t="s">
        <v>86</v>
      </c>
      <c r="H9" s="14"/>
      <c r="I9" s="14"/>
      <c r="J9" s="14"/>
      <c r="K9" s="14"/>
      <c r="L9" s="14"/>
      <c r="M9" s="14"/>
      <c r="N9" s="14"/>
    </row>
    <row r="10" spans="1:15">
      <c r="A10" s="22">
        <f t="shared" ref="A10:A73" si="0">A9+1</f>
        <v>2</v>
      </c>
      <c r="B10" s="10">
        <f>B9+1</f>
        <v>2</v>
      </c>
      <c r="C10" s="24" t="str">
        <f t="shared" ref="C10:C73" si="1">DEC2HEX(B10,4)</f>
        <v>0002</v>
      </c>
      <c r="D10" s="2" t="s">
        <v>1</v>
      </c>
      <c r="E10" s="2" t="s">
        <v>30</v>
      </c>
      <c r="F10" s="2" t="s">
        <v>34</v>
      </c>
      <c r="G10" s="2" t="s">
        <v>86</v>
      </c>
      <c r="H10" s="14"/>
      <c r="I10" s="14"/>
      <c r="J10" s="14"/>
      <c r="K10" s="14"/>
      <c r="L10" s="14"/>
      <c r="M10" s="14"/>
      <c r="N10" s="14"/>
    </row>
    <row r="11" spans="1:15">
      <c r="A11" s="22">
        <f t="shared" si="0"/>
        <v>3</v>
      </c>
      <c r="B11" s="10">
        <f t="shared" ref="B11:B62" si="2">B10+1</f>
        <v>3</v>
      </c>
      <c r="C11" s="24" t="str">
        <f t="shared" si="1"/>
        <v>0003</v>
      </c>
      <c r="D11" s="2" t="s">
        <v>1</v>
      </c>
      <c r="E11" s="2" t="s">
        <v>31</v>
      </c>
      <c r="F11" s="2" t="s">
        <v>34</v>
      </c>
      <c r="G11" s="2" t="s">
        <v>86</v>
      </c>
      <c r="H11" s="14"/>
      <c r="I11" s="14"/>
      <c r="J11" s="14"/>
      <c r="K11" s="14"/>
      <c r="L11" s="14"/>
      <c r="M11" s="14"/>
      <c r="N11" s="14"/>
    </row>
    <row r="12" spans="1:15">
      <c r="A12" s="22">
        <f t="shared" si="0"/>
        <v>4</v>
      </c>
      <c r="B12" s="10">
        <f t="shared" si="2"/>
        <v>4</v>
      </c>
      <c r="C12" s="24" t="str">
        <f t="shared" si="1"/>
        <v>0004</v>
      </c>
      <c r="D12" s="2" t="s">
        <v>1</v>
      </c>
      <c r="E12" s="2" t="s">
        <v>32</v>
      </c>
      <c r="F12" s="2" t="s">
        <v>34</v>
      </c>
      <c r="G12" s="2" t="s">
        <v>86</v>
      </c>
      <c r="H12" s="14"/>
      <c r="I12" s="14"/>
      <c r="J12" s="14"/>
      <c r="K12" s="14"/>
      <c r="L12" s="14"/>
      <c r="M12" s="14"/>
      <c r="N12" s="14"/>
    </row>
    <row r="13" spans="1:15">
      <c r="A13" s="22">
        <f t="shared" si="0"/>
        <v>5</v>
      </c>
      <c r="B13" s="10">
        <f t="shared" si="2"/>
        <v>5</v>
      </c>
      <c r="C13" s="24" t="str">
        <f t="shared" si="1"/>
        <v>0005</v>
      </c>
      <c r="D13" s="2" t="s">
        <v>1</v>
      </c>
      <c r="E13" s="2" t="s">
        <v>33</v>
      </c>
      <c r="F13" s="2" t="s">
        <v>34</v>
      </c>
      <c r="G13" s="2" t="s">
        <v>86</v>
      </c>
      <c r="H13" s="14"/>
      <c r="I13" s="14"/>
      <c r="J13" s="14"/>
      <c r="K13" s="14"/>
      <c r="L13" s="14"/>
      <c r="M13" s="14"/>
      <c r="N13" s="14"/>
    </row>
    <row r="14" spans="1:15">
      <c r="A14" s="22">
        <f t="shared" si="0"/>
        <v>6</v>
      </c>
      <c r="B14" s="10">
        <f t="shared" si="2"/>
        <v>6</v>
      </c>
      <c r="C14" s="24" t="str">
        <f t="shared" si="1"/>
        <v>0006</v>
      </c>
      <c r="D14" s="2" t="s">
        <v>2</v>
      </c>
      <c r="E14" s="2" t="s">
        <v>29</v>
      </c>
      <c r="F14" s="2" t="s">
        <v>41</v>
      </c>
      <c r="G14" s="2" t="s">
        <v>87</v>
      </c>
      <c r="H14" s="14"/>
      <c r="I14" s="14"/>
      <c r="J14" s="14"/>
      <c r="K14" s="14"/>
      <c r="L14" s="14"/>
      <c r="M14" s="14"/>
      <c r="N14" s="14"/>
    </row>
    <row r="15" spans="1:15">
      <c r="A15" s="22">
        <f t="shared" si="0"/>
        <v>7</v>
      </c>
      <c r="B15" s="10">
        <f t="shared" si="2"/>
        <v>7</v>
      </c>
      <c r="C15" s="24" t="str">
        <f t="shared" si="1"/>
        <v>0007</v>
      </c>
      <c r="D15" s="2" t="s">
        <v>2</v>
      </c>
      <c r="E15" s="2" t="s">
        <v>19</v>
      </c>
      <c r="F15" s="2" t="s">
        <v>41</v>
      </c>
      <c r="G15" s="2" t="s">
        <v>89</v>
      </c>
      <c r="H15" s="14"/>
      <c r="I15" s="14"/>
      <c r="J15" s="14"/>
      <c r="K15" s="14"/>
      <c r="L15" s="14"/>
      <c r="M15" s="14"/>
      <c r="N15" s="14"/>
    </row>
    <row r="16" spans="1:15">
      <c r="A16" s="22">
        <f t="shared" si="0"/>
        <v>8</v>
      </c>
      <c r="B16" s="10">
        <f t="shared" si="2"/>
        <v>8</v>
      </c>
      <c r="C16" s="24" t="str">
        <f t="shared" si="1"/>
        <v>0008</v>
      </c>
      <c r="D16" s="2" t="s">
        <v>2</v>
      </c>
      <c r="E16" s="2" t="s">
        <v>20</v>
      </c>
      <c r="F16" s="2" t="s">
        <v>41</v>
      </c>
      <c r="G16" s="2" t="s">
        <v>90</v>
      </c>
      <c r="H16" s="14"/>
      <c r="I16" s="14"/>
      <c r="J16" s="14"/>
      <c r="K16" s="14"/>
      <c r="L16" s="14"/>
      <c r="M16" s="14"/>
      <c r="N16" s="14"/>
    </row>
    <row r="17" spans="1:14">
      <c r="A17" s="22">
        <f t="shared" si="0"/>
        <v>9</v>
      </c>
      <c r="B17" s="10">
        <f t="shared" si="2"/>
        <v>9</v>
      </c>
      <c r="C17" s="24" t="str">
        <f t="shared" si="1"/>
        <v>0009</v>
      </c>
      <c r="D17" s="2" t="s">
        <v>2</v>
      </c>
      <c r="E17" s="2" t="s">
        <v>31</v>
      </c>
      <c r="F17" s="2" t="s">
        <v>41</v>
      </c>
      <c r="G17" s="2" t="s">
        <v>91</v>
      </c>
      <c r="H17" s="14"/>
      <c r="I17" s="14"/>
      <c r="J17" s="14"/>
      <c r="K17" s="14"/>
      <c r="L17" s="14"/>
      <c r="M17" s="14"/>
      <c r="N17" s="14"/>
    </row>
    <row r="18" spans="1:14">
      <c r="A18" s="22">
        <f t="shared" si="0"/>
        <v>10</v>
      </c>
      <c r="B18" s="10">
        <f t="shared" si="2"/>
        <v>10</v>
      </c>
      <c r="C18" s="24" t="str">
        <f t="shared" si="1"/>
        <v>000A</v>
      </c>
      <c r="D18" s="2" t="s">
        <v>2</v>
      </c>
      <c r="E18" s="2" t="s">
        <v>32</v>
      </c>
      <c r="F18" s="2" t="s">
        <v>41</v>
      </c>
      <c r="G18" s="2" t="s">
        <v>92</v>
      </c>
      <c r="H18" s="14"/>
      <c r="I18" s="14"/>
      <c r="J18" s="14"/>
      <c r="K18" s="14"/>
      <c r="L18" s="14"/>
      <c r="M18" s="14"/>
      <c r="N18" s="14"/>
    </row>
    <row r="19" spans="1:14">
      <c r="A19" s="22">
        <f t="shared" si="0"/>
        <v>11</v>
      </c>
      <c r="B19" s="10">
        <f t="shared" si="2"/>
        <v>11</v>
      </c>
      <c r="C19" s="24" t="str">
        <f t="shared" si="1"/>
        <v>000B</v>
      </c>
      <c r="D19" s="2" t="s">
        <v>3</v>
      </c>
      <c r="E19" s="2" t="s">
        <v>1</v>
      </c>
      <c r="F19" s="2" t="s">
        <v>88</v>
      </c>
      <c r="G19" s="2"/>
      <c r="H19" s="14"/>
      <c r="I19" s="14"/>
      <c r="J19" s="14"/>
      <c r="K19" s="14"/>
      <c r="L19" s="14"/>
      <c r="M19" s="14"/>
      <c r="N19" s="14"/>
    </row>
    <row r="20" spans="1:14">
      <c r="A20" s="22">
        <f t="shared" si="0"/>
        <v>12</v>
      </c>
      <c r="B20" s="10">
        <f t="shared" si="2"/>
        <v>12</v>
      </c>
      <c r="C20" s="24" t="str">
        <f t="shared" si="1"/>
        <v>000C</v>
      </c>
      <c r="D20" s="2" t="s">
        <v>3</v>
      </c>
      <c r="E20" s="2" t="s">
        <v>2</v>
      </c>
      <c r="F20" s="2" t="s">
        <v>88</v>
      </c>
      <c r="G20" s="2"/>
      <c r="H20" s="14"/>
      <c r="I20" s="14"/>
      <c r="J20" s="14"/>
      <c r="K20" s="14"/>
      <c r="L20" s="14"/>
      <c r="M20" s="14"/>
      <c r="N20" s="14"/>
    </row>
    <row r="21" spans="1:14">
      <c r="A21" s="22">
        <f t="shared" si="0"/>
        <v>13</v>
      </c>
      <c r="B21" s="10">
        <f t="shared" si="2"/>
        <v>13</v>
      </c>
      <c r="C21" s="24" t="str">
        <f t="shared" si="1"/>
        <v>000D</v>
      </c>
      <c r="D21" s="2" t="s">
        <v>3</v>
      </c>
      <c r="E21" s="2" t="s">
        <v>19</v>
      </c>
      <c r="F21" s="2" t="s">
        <v>88</v>
      </c>
      <c r="G21" s="2"/>
      <c r="H21" s="14"/>
      <c r="I21" s="14"/>
      <c r="J21" s="14"/>
      <c r="K21" s="14"/>
      <c r="L21" s="14"/>
      <c r="M21" s="14"/>
      <c r="N21" s="14"/>
    </row>
    <row r="22" spans="1:14">
      <c r="A22" s="22">
        <f t="shared" si="0"/>
        <v>14</v>
      </c>
      <c r="B22" s="10">
        <f t="shared" si="2"/>
        <v>14</v>
      </c>
      <c r="C22" s="24" t="str">
        <f t="shared" si="1"/>
        <v>000E</v>
      </c>
      <c r="D22" s="2" t="str">
        <f>D21</f>
        <v>A3</v>
      </c>
      <c r="E22" s="2" t="s">
        <v>20</v>
      </c>
      <c r="F22" s="2" t="s">
        <v>88</v>
      </c>
      <c r="G22" s="2"/>
      <c r="H22" s="14"/>
      <c r="I22" s="14"/>
      <c r="J22" s="14"/>
      <c r="K22" s="14"/>
      <c r="L22" s="14"/>
      <c r="M22" s="14"/>
      <c r="N22" s="14"/>
    </row>
    <row r="23" spans="1:14">
      <c r="A23" s="22">
        <f t="shared" si="0"/>
        <v>15</v>
      </c>
      <c r="B23" s="10">
        <f t="shared" si="2"/>
        <v>15</v>
      </c>
      <c r="C23" s="24" t="str">
        <f t="shared" si="1"/>
        <v>000F</v>
      </c>
      <c r="D23" s="2" t="str">
        <f t="shared" ref="D23:D62" si="3">D22</f>
        <v>A3</v>
      </c>
      <c r="E23" s="2" t="s">
        <v>43</v>
      </c>
      <c r="F23" s="2" t="s">
        <v>88</v>
      </c>
      <c r="G23" s="2"/>
      <c r="H23" s="14"/>
      <c r="I23" s="14"/>
      <c r="J23" s="14"/>
      <c r="K23" s="14"/>
      <c r="L23" s="14"/>
      <c r="M23" s="14"/>
      <c r="N23" s="14"/>
    </row>
    <row r="24" spans="1:14">
      <c r="A24" s="22">
        <f t="shared" si="0"/>
        <v>16</v>
      </c>
      <c r="B24" s="10">
        <f t="shared" si="2"/>
        <v>16</v>
      </c>
      <c r="C24" s="24" t="str">
        <f t="shared" si="1"/>
        <v>0010</v>
      </c>
      <c r="D24" s="2" t="str">
        <f t="shared" si="3"/>
        <v>A3</v>
      </c>
      <c r="E24" s="2" t="s">
        <v>44</v>
      </c>
      <c r="F24" s="2" t="s">
        <v>88</v>
      </c>
      <c r="G24" s="2"/>
      <c r="H24" s="14"/>
      <c r="I24" s="14"/>
      <c r="J24" s="14"/>
      <c r="K24" s="14"/>
      <c r="L24" s="14"/>
      <c r="M24" s="14"/>
      <c r="N24" s="14"/>
    </row>
    <row r="25" spans="1:14">
      <c r="A25" s="22">
        <f t="shared" si="0"/>
        <v>17</v>
      </c>
      <c r="B25" s="10">
        <f t="shared" si="2"/>
        <v>17</v>
      </c>
      <c r="C25" s="24" t="str">
        <f t="shared" si="1"/>
        <v>0011</v>
      </c>
      <c r="D25" s="2" t="str">
        <f t="shared" si="3"/>
        <v>A3</v>
      </c>
      <c r="E25" s="2" t="s">
        <v>45</v>
      </c>
      <c r="F25" s="2" t="s">
        <v>88</v>
      </c>
      <c r="G25" s="2"/>
      <c r="H25" s="14"/>
      <c r="I25" s="14"/>
      <c r="J25" s="14"/>
      <c r="K25" s="14"/>
      <c r="L25" s="14"/>
      <c r="M25" s="14"/>
      <c r="N25" s="14"/>
    </row>
    <row r="26" spans="1:14">
      <c r="A26" s="22">
        <f t="shared" si="0"/>
        <v>18</v>
      </c>
      <c r="B26" s="10">
        <f t="shared" si="2"/>
        <v>18</v>
      </c>
      <c r="C26" s="24" t="str">
        <f t="shared" si="1"/>
        <v>0012</v>
      </c>
      <c r="D26" s="2" t="str">
        <f t="shared" si="3"/>
        <v>A3</v>
      </c>
      <c r="E26" s="2" t="s">
        <v>46</v>
      </c>
      <c r="F26" s="2" t="s">
        <v>88</v>
      </c>
      <c r="G26" s="2"/>
      <c r="H26" s="14"/>
      <c r="I26" s="14"/>
      <c r="J26" s="14"/>
      <c r="K26" s="14"/>
      <c r="L26" s="14"/>
      <c r="M26" s="14"/>
      <c r="N26" s="14"/>
    </row>
    <row r="27" spans="1:14">
      <c r="A27" s="22">
        <f t="shared" si="0"/>
        <v>19</v>
      </c>
      <c r="B27" s="10">
        <f t="shared" si="2"/>
        <v>19</v>
      </c>
      <c r="C27" s="24" t="str">
        <f t="shared" si="1"/>
        <v>0013</v>
      </c>
      <c r="D27" s="2" t="str">
        <f t="shared" si="3"/>
        <v>A3</v>
      </c>
      <c r="E27" s="2" t="s">
        <v>47</v>
      </c>
      <c r="F27" s="2" t="s">
        <v>88</v>
      </c>
      <c r="G27" s="2"/>
      <c r="H27" s="14"/>
      <c r="I27" s="14"/>
      <c r="J27" s="14"/>
      <c r="K27" s="14"/>
      <c r="L27" s="14"/>
      <c r="M27" s="14"/>
      <c r="N27" s="14"/>
    </row>
    <row r="28" spans="1:14">
      <c r="A28" s="22">
        <f t="shared" si="0"/>
        <v>20</v>
      </c>
      <c r="B28" s="10">
        <f t="shared" si="2"/>
        <v>20</v>
      </c>
      <c r="C28" s="24" t="str">
        <f t="shared" si="1"/>
        <v>0014</v>
      </c>
      <c r="D28" s="2" t="str">
        <f t="shared" si="3"/>
        <v>A3</v>
      </c>
      <c r="E28" s="2" t="s">
        <v>48</v>
      </c>
      <c r="F28" s="2" t="s">
        <v>88</v>
      </c>
      <c r="G28" s="2"/>
      <c r="H28" s="14"/>
      <c r="I28" s="14"/>
      <c r="J28" s="14"/>
      <c r="K28" s="14"/>
      <c r="L28" s="14"/>
      <c r="M28" s="14"/>
      <c r="N28" s="14"/>
    </row>
    <row r="29" spans="1:14">
      <c r="A29" s="22">
        <f t="shared" si="0"/>
        <v>21</v>
      </c>
      <c r="B29" s="10">
        <f t="shared" si="2"/>
        <v>21</v>
      </c>
      <c r="C29" s="24" t="str">
        <f t="shared" si="1"/>
        <v>0015</v>
      </c>
      <c r="D29" s="2" t="str">
        <f t="shared" si="3"/>
        <v>A3</v>
      </c>
      <c r="E29" s="2" t="s">
        <v>49</v>
      </c>
      <c r="F29" s="2" t="s">
        <v>88</v>
      </c>
      <c r="G29" s="2"/>
      <c r="H29" s="14"/>
      <c r="I29" s="14"/>
      <c r="J29" s="14"/>
      <c r="K29" s="14"/>
      <c r="L29" s="14"/>
      <c r="M29" s="14"/>
      <c r="N29" s="14"/>
    </row>
    <row r="30" spans="1:14">
      <c r="A30" s="22">
        <f t="shared" si="0"/>
        <v>22</v>
      </c>
      <c r="B30" s="10">
        <f t="shared" si="2"/>
        <v>22</v>
      </c>
      <c r="C30" s="24" t="str">
        <f t="shared" si="1"/>
        <v>0016</v>
      </c>
      <c r="D30" s="2" t="str">
        <f t="shared" si="3"/>
        <v>A3</v>
      </c>
      <c r="E30" s="2" t="s">
        <v>50</v>
      </c>
      <c r="F30" s="2" t="s">
        <v>88</v>
      </c>
      <c r="G30" s="2"/>
      <c r="H30" s="14"/>
      <c r="I30" s="14"/>
      <c r="J30" s="14"/>
      <c r="K30" s="14"/>
      <c r="L30" s="14"/>
      <c r="M30" s="14"/>
      <c r="N30" s="14"/>
    </row>
    <row r="31" spans="1:14">
      <c r="A31" s="22">
        <f t="shared" si="0"/>
        <v>23</v>
      </c>
      <c r="B31" s="10">
        <f t="shared" si="2"/>
        <v>23</v>
      </c>
      <c r="C31" s="24" t="str">
        <f t="shared" si="1"/>
        <v>0017</v>
      </c>
      <c r="D31" s="2" t="str">
        <f t="shared" si="3"/>
        <v>A3</v>
      </c>
      <c r="E31" s="2" t="s">
        <v>51</v>
      </c>
      <c r="F31" s="2" t="s">
        <v>88</v>
      </c>
      <c r="G31" s="2"/>
      <c r="H31" s="14"/>
      <c r="I31" s="14"/>
      <c r="J31" s="14"/>
      <c r="K31" s="14"/>
      <c r="L31" s="14"/>
      <c r="M31" s="14"/>
      <c r="N31" s="14"/>
    </row>
    <row r="32" spans="1:14">
      <c r="A32" s="22">
        <f t="shared" si="0"/>
        <v>24</v>
      </c>
      <c r="B32" s="10">
        <f t="shared" si="2"/>
        <v>24</v>
      </c>
      <c r="C32" s="24" t="str">
        <f t="shared" si="1"/>
        <v>0018</v>
      </c>
      <c r="D32" s="2" t="str">
        <f t="shared" si="3"/>
        <v>A3</v>
      </c>
      <c r="E32" s="2" t="s">
        <v>52</v>
      </c>
      <c r="F32" s="2" t="s">
        <v>88</v>
      </c>
      <c r="G32" s="2"/>
      <c r="H32" s="14"/>
      <c r="I32" s="14"/>
      <c r="J32" s="14"/>
      <c r="K32" s="14"/>
      <c r="L32" s="14"/>
      <c r="M32" s="14"/>
      <c r="N32" s="14"/>
    </row>
    <row r="33" spans="1:14">
      <c r="A33" s="22">
        <f t="shared" si="0"/>
        <v>25</v>
      </c>
      <c r="B33" s="10">
        <f t="shared" si="2"/>
        <v>25</v>
      </c>
      <c r="C33" s="24" t="str">
        <f t="shared" si="1"/>
        <v>0019</v>
      </c>
      <c r="D33" s="2" t="str">
        <f t="shared" si="3"/>
        <v>A3</v>
      </c>
      <c r="E33" s="2" t="s">
        <v>53</v>
      </c>
      <c r="F33" s="2" t="s">
        <v>88</v>
      </c>
      <c r="G33" s="2"/>
      <c r="H33" s="14"/>
      <c r="I33" s="14"/>
      <c r="J33" s="14"/>
      <c r="K33" s="14"/>
      <c r="L33" s="14"/>
      <c r="M33" s="14"/>
      <c r="N33" s="14"/>
    </row>
    <row r="34" spans="1:14">
      <c r="A34" s="22">
        <f t="shared" si="0"/>
        <v>26</v>
      </c>
      <c r="B34" s="10">
        <f t="shared" si="2"/>
        <v>26</v>
      </c>
      <c r="C34" s="24" t="str">
        <f t="shared" si="1"/>
        <v>001A</v>
      </c>
      <c r="D34" s="2" t="str">
        <f t="shared" si="3"/>
        <v>A3</v>
      </c>
      <c r="E34" s="2" t="s">
        <v>54</v>
      </c>
      <c r="F34" s="2" t="s">
        <v>88</v>
      </c>
      <c r="G34" s="2"/>
      <c r="H34" s="14"/>
      <c r="I34" s="14"/>
      <c r="J34" s="14"/>
      <c r="K34" s="14"/>
      <c r="L34" s="14"/>
      <c r="M34" s="14"/>
      <c r="N34" s="14"/>
    </row>
    <row r="35" spans="1:14">
      <c r="A35" s="22">
        <f t="shared" si="0"/>
        <v>27</v>
      </c>
      <c r="B35" s="10">
        <f t="shared" si="2"/>
        <v>27</v>
      </c>
      <c r="C35" s="24" t="str">
        <f t="shared" si="1"/>
        <v>001B</v>
      </c>
      <c r="D35" s="2" t="str">
        <f t="shared" si="3"/>
        <v>A3</v>
      </c>
      <c r="E35" s="2" t="s">
        <v>55</v>
      </c>
      <c r="F35" s="2" t="s">
        <v>88</v>
      </c>
      <c r="G35" s="2"/>
      <c r="H35" s="14"/>
      <c r="I35" s="14"/>
      <c r="J35" s="14"/>
      <c r="K35" s="14"/>
      <c r="L35" s="14"/>
      <c r="M35" s="14"/>
      <c r="N35" s="14"/>
    </row>
    <row r="36" spans="1:14">
      <c r="A36" s="22">
        <f t="shared" si="0"/>
        <v>28</v>
      </c>
      <c r="B36" s="10">
        <f t="shared" si="2"/>
        <v>28</v>
      </c>
      <c r="C36" s="24" t="str">
        <f t="shared" si="1"/>
        <v>001C</v>
      </c>
      <c r="D36" s="2" t="str">
        <f t="shared" si="3"/>
        <v>A3</v>
      </c>
      <c r="E36" s="2" t="s">
        <v>56</v>
      </c>
      <c r="F36" s="2" t="s">
        <v>88</v>
      </c>
      <c r="G36" s="2"/>
      <c r="H36" s="14"/>
      <c r="I36" s="14"/>
      <c r="J36" s="14"/>
      <c r="K36" s="14"/>
      <c r="L36" s="14"/>
      <c r="M36" s="14"/>
      <c r="N36" s="14"/>
    </row>
    <row r="37" spans="1:14">
      <c r="A37" s="22">
        <f t="shared" si="0"/>
        <v>29</v>
      </c>
      <c r="B37" s="10">
        <f t="shared" si="2"/>
        <v>29</v>
      </c>
      <c r="C37" s="24" t="str">
        <f t="shared" si="1"/>
        <v>001D</v>
      </c>
      <c r="D37" s="2" t="str">
        <f t="shared" si="3"/>
        <v>A3</v>
      </c>
      <c r="E37" s="2" t="s">
        <v>57</v>
      </c>
      <c r="F37" s="2" t="s">
        <v>88</v>
      </c>
      <c r="G37" s="2"/>
      <c r="H37" s="14"/>
      <c r="I37" s="14"/>
      <c r="J37" s="14"/>
      <c r="K37" s="14"/>
      <c r="L37" s="14"/>
      <c r="M37" s="14"/>
      <c r="N37" s="14"/>
    </row>
    <row r="38" spans="1:14">
      <c r="A38" s="22">
        <f t="shared" si="0"/>
        <v>30</v>
      </c>
      <c r="B38" s="10">
        <f t="shared" si="2"/>
        <v>30</v>
      </c>
      <c r="C38" s="24" t="str">
        <f t="shared" si="1"/>
        <v>001E</v>
      </c>
      <c r="D38" s="2" t="str">
        <f t="shared" si="3"/>
        <v>A3</v>
      </c>
      <c r="E38" s="2" t="s">
        <v>58</v>
      </c>
      <c r="F38" s="2" t="s">
        <v>88</v>
      </c>
      <c r="G38" s="2"/>
      <c r="H38" s="14"/>
      <c r="I38" s="14"/>
      <c r="J38" s="14"/>
      <c r="K38" s="14"/>
      <c r="L38" s="14"/>
      <c r="M38" s="14"/>
      <c r="N38" s="14"/>
    </row>
    <row r="39" spans="1:14">
      <c r="A39" s="22">
        <f t="shared" si="0"/>
        <v>31</v>
      </c>
      <c r="B39" s="10">
        <f t="shared" si="2"/>
        <v>31</v>
      </c>
      <c r="C39" s="24" t="str">
        <f t="shared" si="1"/>
        <v>001F</v>
      </c>
      <c r="D39" s="2" t="str">
        <f t="shared" si="3"/>
        <v>A3</v>
      </c>
      <c r="E39" s="2" t="s">
        <v>59</v>
      </c>
      <c r="F39" s="2" t="s">
        <v>88</v>
      </c>
      <c r="G39" s="2"/>
      <c r="H39" s="14"/>
      <c r="I39" s="14"/>
      <c r="J39" s="14"/>
      <c r="K39" s="14"/>
      <c r="L39" s="14"/>
      <c r="M39" s="14"/>
      <c r="N39" s="14"/>
    </row>
    <row r="40" spans="1:14">
      <c r="A40" s="22">
        <f t="shared" si="0"/>
        <v>32</v>
      </c>
      <c r="B40" s="10">
        <f t="shared" si="2"/>
        <v>32</v>
      </c>
      <c r="C40" s="24" t="str">
        <f t="shared" si="1"/>
        <v>0020</v>
      </c>
      <c r="D40" s="2" t="str">
        <f t="shared" si="3"/>
        <v>A3</v>
      </c>
      <c r="E40" s="2" t="s">
        <v>60</v>
      </c>
      <c r="F40" s="2" t="s">
        <v>88</v>
      </c>
      <c r="G40" s="2"/>
      <c r="H40" s="14"/>
      <c r="I40" s="14"/>
      <c r="J40" s="14"/>
      <c r="K40" s="14"/>
      <c r="L40" s="14"/>
      <c r="M40" s="14"/>
      <c r="N40" s="14"/>
    </row>
    <row r="41" spans="1:14">
      <c r="A41" s="22">
        <f t="shared" si="0"/>
        <v>33</v>
      </c>
      <c r="B41" s="10">
        <f t="shared" si="2"/>
        <v>33</v>
      </c>
      <c r="C41" s="24" t="str">
        <f t="shared" si="1"/>
        <v>0021</v>
      </c>
      <c r="D41" s="2" t="str">
        <f t="shared" si="3"/>
        <v>A3</v>
      </c>
      <c r="E41" s="2" t="s">
        <v>61</v>
      </c>
      <c r="F41" s="2" t="s">
        <v>88</v>
      </c>
      <c r="G41" s="2"/>
      <c r="H41" s="14"/>
      <c r="I41" s="14"/>
      <c r="J41" s="14"/>
      <c r="K41" s="14"/>
      <c r="L41" s="14"/>
      <c r="M41" s="14"/>
      <c r="N41" s="14"/>
    </row>
    <row r="42" spans="1:14">
      <c r="A42" s="22">
        <f t="shared" si="0"/>
        <v>34</v>
      </c>
      <c r="B42" s="10">
        <f t="shared" si="2"/>
        <v>34</v>
      </c>
      <c r="C42" s="24" t="str">
        <f t="shared" si="1"/>
        <v>0022</v>
      </c>
      <c r="D42" s="2" t="str">
        <f t="shared" si="3"/>
        <v>A3</v>
      </c>
      <c r="E42" s="2" t="s">
        <v>62</v>
      </c>
      <c r="F42" s="2" t="s">
        <v>88</v>
      </c>
      <c r="G42" s="2"/>
      <c r="H42" s="14"/>
      <c r="I42" s="14"/>
      <c r="J42" s="14"/>
      <c r="K42" s="14"/>
      <c r="L42" s="14"/>
      <c r="M42" s="14"/>
      <c r="N42" s="14"/>
    </row>
    <row r="43" spans="1:14">
      <c r="A43" s="22">
        <f t="shared" si="0"/>
        <v>35</v>
      </c>
      <c r="B43" s="10">
        <f t="shared" si="2"/>
        <v>35</v>
      </c>
      <c r="C43" s="24" t="str">
        <f t="shared" si="1"/>
        <v>0023</v>
      </c>
      <c r="D43" s="2" t="str">
        <f t="shared" si="3"/>
        <v>A3</v>
      </c>
      <c r="E43" s="2" t="s">
        <v>63</v>
      </c>
      <c r="F43" s="2" t="s">
        <v>88</v>
      </c>
      <c r="G43" s="2"/>
      <c r="H43" s="14"/>
      <c r="I43" s="14"/>
      <c r="J43" s="14"/>
      <c r="K43" s="14"/>
      <c r="L43" s="14"/>
      <c r="M43" s="14"/>
      <c r="N43" s="14"/>
    </row>
    <row r="44" spans="1:14">
      <c r="A44" s="22">
        <f t="shared" si="0"/>
        <v>36</v>
      </c>
      <c r="B44" s="10">
        <f t="shared" si="2"/>
        <v>36</v>
      </c>
      <c r="C44" s="24" t="str">
        <f t="shared" si="1"/>
        <v>0024</v>
      </c>
      <c r="D44" s="2" t="str">
        <f t="shared" si="3"/>
        <v>A3</v>
      </c>
      <c r="E44" s="2" t="s">
        <v>64</v>
      </c>
      <c r="F44" s="2" t="s">
        <v>88</v>
      </c>
      <c r="G44" s="2"/>
      <c r="H44" s="14"/>
      <c r="I44" s="14"/>
      <c r="J44" s="14"/>
      <c r="K44" s="14"/>
      <c r="L44" s="14"/>
      <c r="M44" s="14"/>
      <c r="N44" s="14"/>
    </row>
    <row r="45" spans="1:14">
      <c r="A45" s="22">
        <f t="shared" si="0"/>
        <v>37</v>
      </c>
      <c r="B45" s="10">
        <f t="shared" si="2"/>
        <v>37</v>
      </c>
      <c r="C45" s="24" t="str">
        <f t="shared" si="1"/>
        <v>0025</v>
      </c>
      <c r="D45" s="2" t="str">
        <f t="shared" si="3"/>
        <v>A3</v>
      </c>
      <c r="E45" s="2" t="s">
        <v>65</v>
      </c>
      <c r="F45" s="2" t="s">
        <v>88</v>
      </c>
      <c r="G45" s="2"/>
      <c r="H45" s="14"/>
      <c r="I45" s="14"/>
      <c r="J45" s="14"/>
      <c r="K45" s="14"/>
      <c r="L45" s="14"/>
      <c r="M45" s="14"/>
      <c r="N45" s="14"/>
    </row>
    <row r="46" spans="1:14">
      <c r="A46" s="22">
        <f t="shared" si="0"/>
        <v>38</v>
      </c>
      <c r="B46" s="10">
        <f t="shared" si="2"/>
        <v>38</v>
      </c>
      <c r="C46" s="24" t="str">
        <f t="shared" si="1"/>
        <v>0026</v>
      </c>
      <c r="D46" s="2" t="str">
        <f t="shared" si="3"/>
        <v>A3</v>
      </c>
      <c r="E46" s="2" t="s">
        <v>66</v>
      </c>
      <c r="F46" s="2" t="s">
        <v>88</v>
      </c>
      <c r="G46" s="2"/>
      <c r="H46" s="14"/>
      <c r="I46" s="14"/>
      <c r="J46" s="14"/>
      <c r="K46" s="14"/>
      <c r="L46" s="14"/>
      <c r="M46" s="14"/>
      <c r="N46" s="14"/>
    </row>
    <row r="47" spans="1:14">
      <c r="A47" s="22">
        <f t="shared" si="0"/>
        <v>39</v>
      </c>
      <c r="B47" s="10">
        <f t="shared" si="2"/>
        <v>39</v>
      </c>
      <c r="C47" s="24" t="str">
        <f t="shared" si="1"/>
        <v>0027</v>
      </c>
      <c r="D47" s="2" t="str">
        <f t="shared" si="3"/>
        <v>A3</v>
      </c>
      <c r="E47" s="2" t="s">
        <v>67</v>
      </c>
      <c r="F47" s="2" t="s">
        <v>88</v>
      </c>
      <c r="G47" s="2"/>
      <c r="H47" s="14"/>
      <c r="I47" s="14"/>
      <c r="J47" s="14"/>
      <c r="K47" s="14"/>
      <c r="L47" s="14"/>
      <c r="M47" s="14"/>
      <c r="N47" s="14"/>
    </row>
    <row r="48" spans="1:14">
      <c r="A48" s="22">
        <f t="shared" si="0"/>
        <v>40</v>
      </c>
      <c r="B48" s="10">
        <f t="shared" si="2"/>
        <v>40</v>
      </c>
      <c r="C48" s="24" t="str">
        <f t="shared" si="1"/>
        <v>0028</v>
      </c>
      <c r="D48" s="2" t="str">
        <f t="shared" si="3"/>
        <v>A3</v>
      </c>
      <c r="E48" s="2" t="s">
        <v>68</v>
      </c>
      <c r="F48" s="2" t="s">
        <v>88</v>
      </c>
      <c r="G48" s="2"/>
      <c r="H48" s="14"/>
      <c r="I48" s="14"/>
      <c r="J48" s="14"/>
      <c r="K48" s="14"/>
      <c r="L48" s="14"/>
      <c r="M48" s="14"/>
      <c r="N48" s="14"/>
    </row>
    <row r="49" spans="1:14">
      <c r="A49" s="22">
        <f t="shared" si="0"/>
        <v>41</v>
      </c>
      <c r="B49" s="10">
        <f t="shared" si="2"/>
        <v>41</v>
      </c>
      <c r="C49" s="24" t="str">
        <f t="shared" si="1"/>
        <v>0029</v>
      </c>
      <c r="D49" s="2" t="str">
        <f t="shared" si="3"/>
        <v>A3</v>
      </c>
      <c r="E49" s="2" t="s">
        <v>69</v>
      </c>
      <c r="F49" s="2" t="s">
        <v>88</v>
      </c>
      <c r="G49" s="2"/>
      <c r="H49" s="14"/>
      <c r="I49" s="14"/>
      <c r="J49" s="14"/>
      <c r="K49" s="14"/>
      <c r="L49" s="14"/>
      <c r="M49" s="14"/>
      <c r="N49" s="14"/>
    </row>
    <row r="50" spans="1:14">
      <c r="A50" s="22">
        <f t="shared" si="0"/>
        <v>42</v>
      </c>
      <c r="B50" s="10">
        <f t="shared" si="2"/>
        <v>42</v>
      </c>
      <c r="C50" s="24" t="str">
        <f t="shared" si="1"/>
        <v>002A</v>
      </c>
      <c r="D50" s="2" t="str">
        <f t="shared" si="3"/>
        <v>A3</v>
      </c>
      <c r="E50" s="2" t="s">
        <v>70</v>
      </c>
      <c r="F50" s="2" t="s">
        <v>88</v>
      </c>
      <c r="G50" s="2"/>
      <c r="H50" s="14"/>
      <c r="I50" s="14"/>
      <c r="J50" s="14"/>
      <c r="K50" s="14"/>
      <c r="L50" s="14"/>
      <c r="M50" s="14"/>
      <c r="N50" s="14"/>
    </row>
    <row r="51" spans="1:14">
      <c r="A51" s="22">
        <f t="shared" si="0"/>
        <v>43</v>
      </c>
      <c r="B51" s="10">
        <f t="shared" si="2"/>
        <v>43</v>
      </c>
      <c r="C51" s="24" t="str">
        <f t="shared" si="1"/>
        <v>002B</v>
      </c>
      <c r="D51" s="2" t="str">
        <f t="shared" si="3"/>
        <v>A3</v>
      </c>
      <c r="E51" s="2" t="s">
        <v>71</v>
      </c>
      <c r="F51" s="2" t="s">
        <v>88</v>
      </c>
      <c r="G51" s="2"/>
      <c r="H51" s="14"/>
      <c r="I51" s="14"/>
      <c r="J51" s="14"/>
      <c r="K51" s="14"/>
      <c r="L51" s="14"/>
      <c r="M51" s="14"/>
      <c r="N51" s="14"/>
    </row>
    <row r="52" spans="1:14">
      <c r="A52" s="22">
        <f t="shared" si="0"/>
        <v>44</v>
      </c>
      <c r="B52" s="10">
        <f t="shared" si="2"/>
        <v>44</v>
      </c>
      <c r="C52" s="24" t="str">
        <f t="shared" si="1"/>
        <v>002C</v>
      </c>
      <c r="D52" s="2" t="str">
        <f t="shared" si="3"/>
        <v>A3</v>
      </c>
      <c r="E52" s="2" t="s">
        <v>72</v>
      </c>
      <c r="F52" s="2" t="s">
        <v>88</v>
      </c>
      <c r="G52" s="2"/>
      <c r="H52" s="14"/>
      <c r="I52" s="14"/>
      <c r="J52" s="14"/>
      <c r="K52" s="14"/>
      <c r="L52" s="14"/>
      <c r="M52" s="14"/>
      <c r="N52" s="14"/>
    </row>
    <row r="53" spans="1:14">
      <c r="A53" s="22">
        <f t="shared" si="0"/>
        <v>45</v>
      </c>
      <c r="B53" s="10">
        <f t="shared" si="2"/>
        <v>45</v>
      </c>
      <c r="C53" s="24" t="str">
        <f t="shared" si="1"/>
        <v>002D</v>
      </c>
      <c r="D53" s="2" t="str">
        <f t="shared" si="3"/>
        <v>A3</v>
      </c>
      <c r="E53" s="2" t="s">
        <v>73</v>
      </c>
      <c r="F53" s="2" t="s">
        <v>88</v>
      </c>
      <c r="G53" s="2"/>
      <c r="H53" s="14"/>
      <c r="I53" s="14"/>
      <c r="J53" s="14"/>
      <c r="K53" s="14"/>
      <c r="L53" s="14"/>
      <c r="M53" s="14"/>
      <c r="N53" s="14"/>
    </row>
    <row r="54" spans="1:14">
      <c r="A54" s="22">
        <f t="shared" si="0"/>
        <v>46</v>
      </c>
      <c r="B54" s="10">
        <f t="shared" si="2"/>
        <v>46</v>
      </c>
      <c r="C54" s="24" t="str">
        <f t="shared" si="1"/>
        <v>002E</v>
      </c>
      <c r="D54" s="2" t="str">
        <f t="shared" si="3"/>
        <v>A3</v>
      </c>
      <c r="E54" s="2" t="s">
        <v>74</v>
      </c>
      <c r="F54" s="2" t="s">
        <v>88</v>
      </c>
      <c r="G54" s="2"/>
      <c r="H54" s="14"/>
      <c r="I54" s="14"/>
      <c r="J54" s="14"/>
      <c r="K54" s="14"/>
      <c r="L54" s="14"/>
      <c r="M54" s="14"/>
      <c r="N54" s="14"/>
    </row>
    <row r="55" spans="1:14">
      <c r="A55" s="22">
        <f t="shared" si="0"/>
        <v>47</v>
      </c>
      <c r="B55" s="10">
        <f t="shared" si="2"/>
        <v>47</v>
      </c>
      <c r="C55" s="24" t="str">
        <f t="shared" si="1"/>
        <v>002F</v>
      </c>
      <c r="D55" s="2" t="str">
        <f t="shared" si="3"/>
        <v>A3</v>
      </c>
      <c r="E55" s="2" t="s">
        <v>75</v>
      </c>
      <c r="F55" s="2" t="s">
        <v>88</v>
      </c>
      <c r="G55" s="2"/>
      <c r="H55" s="14"/>
      <c r="I55" s="14"/>
      <c r="J55" s="14"/>
      <c r="K55" s="14"/>
      <c r="L55" s="14"/>
      <c r="M55" s="14"/>
      <c r="N55" s="14"/>
    </row>
    <row r="56" spans="1:14">
      <c r="A56" s="22">
        <f t="shared" si="0"/>
        <v>48</v>
      </c>
      <c r="B56" s="10">
        <f t="shared" si="2"/>
        <v>48</v>
      </c>
      <c r="C56" s="24" t="str">
        <f t="shared" si="1"/>
        <v>0030</v>
      </c>
      <c r="D56" s="2" t="str">
        <f t="shared" si="3"/>
        <v>A3</v>
      </c>
      <c r="E56" s="2" t="s">
        <v>76</v>
      </c>
      <c r="F56" s="2" t="s">
        <v>88</v>
      </c>
      <c r="G56" s="2"/>
      <c r="H56" s="14"/>
      <c r="I56" s="14"/>
      <c r="J56" s="14"/>
      <c r="K56" s="14"/>
      <c r="L56" s="14"/>
      <c r="M56" s="14"/>
      <c r="N56" s="14"/>
    </row>
    <row r="57" spans="1:14">
      <c r="A57" s="22">
        <f t="shared" si="0"/>
        <v>49</v>
      </c>
      <c r="B57" s="10">
        <f t="shared" si="2"/>
        <v>49</v>
      </c>
      <c r="C57" s="24" t="str">
        <f t="shared" si="1"/>
        <v>0031</v>
      </c>
      <c r="D57" s="2" t="str">
        <f t="shared" si="3"/>
        <v>A3</v>
      </c>
      <c r="E57" s="2" t="s">
        <v>77</v>
      </c>
      <c r="F57" s="2" t="s">
        <v>88</v>
      </c>
      <c r="G57" s="2"/>
      <c r="H57" s="14"/>
      <c r="I57" s="14"/>
      <c r="J57" s="14"/>
      <c r="K57" s="14"/>
      <c r="L57" s="14"/>
      <c r="M57" s="14"/>
      <c r="N57" s="14"/>
    </row>
    <row r="58" spans="1:14">
      <c r="A58" s="22">
        <f t="shared" si="0"/>
        <v>50</v>
      </c>
      <c r="B58" s="10">
        <f t="shared" si="2"/>
        <v>50</v>
      </c>
      <c r="C58" s="24" t="str">
        <f t="shared" si="1"/>
        <v>0032</v>
      </c>
      <c r="D58" s="2" t="str">
        <f t="shared" si="3"/>
        <v>A3</v>
      </c>
      <c r="E58" s="2" t="s">
        <v>78</v>
      </c>
      <c r="F58" s="2" t="s">
        <v>88</v>
      </c>
      <c r="G58" s="2"/>
      <c r="H58" s="14"/>
      <c r="I58" s="14"/>
      <c r="J58" s="14"/>
      <c r="K58" s="14"/>
      <c r="L58" s="14"/>
      <c r="M58" s="14"/>
      <c r="N58" s="14"/>
    </row>
    <row r="59" spans="1:14">
      <c r="A59" s="22">
        <f t="shared" si="0"/>
        <v>51</v>
      </c>
      <c r="B59" s="10">
        <f t="shared" si="2"/>
        <v>51</v>
      </c>
      <c r="C59" s="24" t="str">
        <f t="shared" si="1"/>
        <v>0033</v>
      </c>
      <c r="D59" s="2" t="str">
        <f t="shared" si="3"/>
        <v>A3</v>
      </c>
      <c r="E59" s="2" t="s">
        <v>79</v>
      </c>
      <c r="F59" s="2" t="s">
        <v>88</v>
      </c>
      <c r="G59" s="2"/>
      <c r="H59" s="14"/>
      <c r="I59" s="14"/>
      <c r="J59" s="14"/>
      <c r="K59" s="14"/>
      <c r="L59" s="14"/>
      <c r="M59" s="14"/>
      <c r="N59" s="14"/>
    </row>
    <row r="60" spans="1:14">
      <c r="A60" s="22">
        <f t="shared" si="0"/>
        <v>52</v>
      </c>
      <c r="B60" s="10">
        <f t="shared" si="2"/>
        <v>52</v>
      </c>
      <c r="C60" s="24" t="str">
        <f t="shared" si="1"/>
        <v>0034</v>
      </c>
      <c r="D60" s="2" t="str">
        <f t="shared" si="3"/>
        <v>A3</v>
      </c>
      <c r="E60" s="2" t="s">
        <v>80</v>
      </c>
      <c r="F60" s="2" t="s">
        <v>88</v>
      </c>
      <c r="G60" s="2"/>
      <c r="H60" s="14"/>
      <c r="I60" s="14"/>
      <c r="J60" s="14"/>
      <c r="K60" s="14"/>
      <c r="L60" s="14"/>
      <c r="M60" s="14"/>
      <c r="N60" s="14"/>
    </row>
    <row r="61" spans="1:14">
      <c r="A61" s="22">
        <f t="shared" si="0"/>
        <v>53</v>
      </c>
      <c r="B61" s="10">
        <f t="shared" si="2"/>
        <v>53</v>
      </c>
      <c r="C61" s="24" t="str">
        <f t="shared" si="1"/>
        <v>0035</v>
      </c>
      <c r="D61" s="2" t="str">
        <f t="shared" si="3"/>
        <v>A3</v>
      </c>
      <c r="E61" s="2" t="s">
        <v>81</v>
      </c>
      <c r="F61" s="2" t="s">
        <v>88</v>
      </c>
      <c r="G61" s="2"/>
      <c r="H61" s="14"/>
      <c r="I61" s="14"/>
      <c r="J61" s="14"/>
      <c r="K61" s="14"/>
      <c r="L61" s="14"/>
      <c r="M61" s="14"/>
      <c r="N61" s="14"/>
    </row>
    <row r="62" spans="1:14">
      <c r="A62" s="22">
        <f t="shared" si="0"/>
        <v>54</v>
      </c>
      <c r="B62" s="10">
        <f t="shared" si="2"/>
        <v>54</v>
      </c>
      <c r="C62" s="24" t="str">
        <f t="shared" si="1"/>
        <v>0036</v>
      </c>
      <c r="D62" s="2" t="str">
        <f t="shared" si="3"/>
        <v>A3</v>
      </c>
      <c r="E62" s="2" t="s">
        <v>82</v>
      </c>
      <c r="F62" s="2" t="s">
        <v>88</v>
      </c>
      <c r="G62" s="2"/>
      <c r="H62" s="14"/>
      <c r="I62" s="14"/>
      <c r="J62" s="14"/>
      <c r="K62" s="14"/>
      <c r="L62" s="14"/>
      <c r="M62" s="14"/>
      <c r="N62" s="14"/>
    </row>
    <row r="63" spans="1:14">
      <c r="A63" s="22">
        <f t="shared" si="0"/>
        <v>55</v>
      </c>
      <c r="B63" s="10">
        <f t="shared" ref="B63:B104" si="4">B62+1</f>
        <v>55</v>
      </c>
      <c r="C63" s="24" t="str">
        <f t="shared" si="1"/>
        <v>0037</v>
      </c>
      <c r="D63" s="2" t="s">
        <v>4</v>
      </c>
      <c r="E63" s="2" t="s">
        <v>29</v>
      </c>
      <c r="F63" s="20" t="s">
        <v>95</v>
      </c>
      <c r="G63" s="2"/>
      <c r="H63" s="14"/>
      <c r="I63" s="14"/>
      <c r="J63" s="14"/>
      <c r="K63" s="14"/>
      <c r="L63" s="14"/>
      <c r="M63" s="14"/>
      <c r="N63" s="14"/>
    </row>
    <row r="64" spans="1:14">
      <c r="A64" s="22">
        <f t="shared" si="0"/>
        <v>56</v>
      </c>
      <c r="B64" s="18">
        <f t="shared" si="4"/>
        <v>56</v>
      </c>
      <c r="C64" s="25" t="str">
        <f t="shared" si="1"/>
        <v>0038</v>
      </c>
      <c r="D64" s="19" t="s">
        <v>5</v>
      </c>
      <c r="E64" s="19" t="s">
        <v>29</v>
      </c>
      <c r="F64" s="20" t="s">
        <v>96</v>
      </c>
      <c r="G64" s="19"/>
      <c r="H64" s="14"/>
      <c r="I64" s="14"/>
      <c r="J64" s="14"/>
      <c r="K64" s="14"/>
      <c r="L64" s="14"/>
      <c r="M64" s="14"/>
      <c r="N64" s="14"/>
    </row>
    <row r="65" spans="1:14">
      <c r="A65" s="22">
        <f t="shared" si="0"/>
        <v>57</v>
      </c>
      <c r="B65" s="10">
        <f t="shared" si="4"/>
        <v>57</v>
      </c>
      <c r="C65" s="24" t="str">
        <f t="shared" si="1"/>
        <v>0039</v>
      </c>
      <c r="D65" s="2" t="str">
        <f>D64</f>
        <v>A5</v>
      </c>
      <c r="E65" s="2" t="s">
        <v>30</v>
      </c>
      <c r="F65" s="20" t="str">
        <f>F64</f>
        <v>R13 UPDATE IN 4 USEC SCREENS</v>
      </c>
      <c r="G65" s="2"/>
      <c r="H65" s="14"/>
      <c r="I65" s="14"/>
      <c r="J65" s="14"/>
      <c r="K65" s="14"/>
      <c r="L65" s="14"/>
      <c r="M65" s="14"/>
      <c r="N65" s="14"/>
    </row>
    <row r="66" spans="1:14">
      <c r="A66" s="22">
        <f t="shared" si="0"/>
        <v>58</v>
      </c>
      <c r="B66" s="10">
        <f t="shared" si="4"/>
        <v>58</v>
      </c>
      <c r="C66" s="24" t="str">
        <f t="shared" si="1"/>
        <v>003A</v>
      </c>
      <c r="D66" s="2" t="str">
        <f t="shared" ref="D66:D68" si="5">D65</f>
        <v>A5</v>
      </c>
      <c r="E66" s="2" t="s">
        <v>31</v>
      </c>
      <c r="F66" s="20" t="str">
        <f t="shared" ref="F66:F68" si="6">F65</f>
        <v>R13 UPDATE IN 4 USEC SCREENS</v>
      </c>
      <c r="G66" s="2"/>
      <c r="H66" s="14"/>
      <c r="I66" s="14"/>
      <c r="J66" s="14"/>
      <c r="K66" s="14"/>
      <c r="L66" s="14"/>
      <c r="M66" s="14"/>
      <c r="N66" s="14"/>
    </row>
    <row r="67" spans="1:14">
      <c r="A67" s="22">
        <f t="shared" si="0"/>
        <v>59</v>
      </c>
      <c r="B67" s="10">
        <f t="shared" si="4"/>
        <v>59</v>
      </c>
      <c r="C67" s="24" t="str">
        <f t="shared" si="1"/>
        <v>003B</v>
      </c>
      <c r="D67" s="2" t="str">
        <f t="shared" si="5"/>
        <v>A5</v>
      </c>
      <c r="E67" s="2" t="s">
        <v>32</v>
      </c>
      <c r="F67" s="20" t="str">
        <f t="shared" si="6"/>
        <v>R13 UPDATE IN 4 USEC SCREENS</v>
      </c>
      <c r="G67" s="2"/>
      <c r="H67" s="14"/>
      <c r="I67" s="14"/>
      <c r="J67" s="14"/>
      <c r="K67" s="14"/>
      <c r="L67" s="14"/>
      <c r="M67" s="14"/>
    </row>
    <row r="68" spans="1:14">
      <c r="A68" s="22">
        <f t="shared" si="0"/>
        <v>60</v>
      </c>
      <c r="B68" s="10">
        <f t="shared" si="4"/>
        <v>60</v>
      </c>
      <c r="C68" s="24" t="str">
        <f t="shared" si="1"/>
        <v>003C</v>
      </c>
      <c r="D68" s="2" t="str">
        <f t="shared" si="5"/>
        <v>A5</v>
      </c>
      <c r="E68" s="2" t="s">
        <v>33</v>
      </c>
      <c r="F68" s="20" t="str">
        <f t="shared" si="6"/>
        <v>R13 UPDATE IN 4 USEC SCREENS</v>
      </c>
      <c r="G68" s="2"/>
      <c r="H68" s="14"/>
      <c r="I68" s="14"/>
      <c r="J68" s="14"/>
      <c r="K68" s="14"/>
      <c r="L68" s="14"/>
      <c r="M68" s="14"/>
    </row>
    <row r="69" spans="1:14">
      <c r="A69" s="22">
        <f t="shared" si="0"/>
        <v>61</v>
      </c>
      <c r="B69" s="10">
        <f t="shared" si="4"/>
        <v>61</v>
      </c>
      <c r="C69" s="24" t="str">
        <f t="shared" si="1"/>
        <v>003D</v>
      </c>
      <c r="D69" s="2" t="s">
        <v>6</v>
      </c>
      <c r="E69" s="19" t="s">
        <v>29</v>
      </c>
      <c r="F69" s="20" t="s">
        <v>97</v>
      </c>
      <c r="G69" s="2"/>
      <c r="H69" s="14"/>
      <c r="I69" s="14"/>
      <c r="J69" s="14"/>
      <c r="K69" s="14"/>
      <c r="L69" s="14"/>
      <c r="M69" s="14"/>
    </row>
    <row r="70" spans="1:14">
      <c r="A70" s="22">
        <f t="shared" si="0"/>
        <v>62</v>
      </c>
      <c r="B70" s="10">
        <f t="shared" si="4"/>
        <v>62</v>
      </c>
      <c r="C70" s="24" t="str">
        <f t="shared" si="1"/>
        <v>003E</v>
      </c>
      <c r="D70" s="2" t="str">
        <f>D69</f>
        <v>A6</v>
      </c>
      <c r="E70" s="2" t="s">
        <v>30</v>
      </c>
      <c r="F70" s="20" t="str">
        <f>F69</f>
        <v>R13 UPDATE IN 2 USEC SCREENS</v>
      </c>
      <c r="G70" s="2"/>
      <c r="H70" s="14"/>
      <c r="I70" s="14"/>
      <c r="J70" s="14"/>
      <c r="K70" s="14"/>
      <c r="L70" s="14"/>
      <c r="M70" s="14"/>
    </row>
    <row r="71" spans="1:14">
      <c r="A71" s="22">
        <f t="shared" si="0"/>
        <v>63</v>
      </c>
      <c r="B71" s="10">
        <f t="shared" si="4"/>
        <v>63</v>
      </c>
      <c r="C71" s="24" t="str">
        <f t="shared" si="1"/>
        <v>003F</v>
      </c>
      <c r="D71" s="2" t="str">
        <f>D70</f>
        <v>A6</v>
      </c>
      <c r="E71" s="2" t="s">
        <v>31</v>
      </c>
      <c r="F71" s="20" t="str">
        <f>F70</f>
        <v>R13 UPDATE IN 2 USEC SCREENS</v>
      </c>
      <c r="G71" s="2"/>
      <c r="H71" s="14"/>
      <c r="I71" s="14"/>
      <c r="J71" s="14"/>
      <c r="K71" s="14"/>
      <c r="L71" s="14"/>
      <c r="M71" s="14"/>
    </row>
    <row r="72" spans="1:14">
      <c r="A72" s="22">
        <f t="shared" si="0"/>
        <v>64</v>
      </c>
      <c r="B72" s="10">
        <f>B71+64</f>
        <v>127</v>
      </c>
      <c r="C72" s="24" t="str">
        <f t="shared" si="1"/>
        <v>007F</v>
      </c>
      <c r="D72" s="2" t="str">
        <f>D71</f>
        <v>A6</v>
      </c>
      <c r="E72" s="2" t="s">
        <v>32</v>
      </c>
      <c r="F72" s="20" t="str">
        <f>F71</f>
        <v>R13 UPDATE IN 2 USEC SCREENS</v>
      </c>
      <c r="G72" s="2"/>
      <c r="H72" s="14"/>
      <c r="I72" s="14"/>
      <c r="J72" s="14"/>
      <c r="K72" s="14"/>
      <c r="L72" s="14"/>
      <c r="M72" s="14"/>
    </row>
    <row r="73" spans="1:14">
      <c r="A73" s="22">
        <f t="shared" si="0"/>
        <v>65</v>
      </c>
      <c r="B73" s="10">
        <f>B72+1</f>
        <v>128</v>
      </c>
      <c r="C73" s="24" t="str">
        <f t="shared" si="1"/>
        <v>0080</v>
      </c>
      <c r="D73" s="2" t="s">
        <v>6</v>
      </c>
      <c r="E73" s="2" t="s">
        <v>33</v>
      </c>
      <c r="F73" s="20" t="str">
        <f>F72</f>
        <v>R13 UPDATE IN 2 USEC SCREENS</v>
      </c>
      <c r="G73" s="2"/>
      <c r="H73" s="14"/>
      <c r="I73" s="14"/>
      <c r="J73" s="14"/>
      <c r="K73" s="14"/>
      <c r="L73" s="14"/>
      <c r="M73" s="14"/>
    </row>
    <row r="74" spans="1:14">
      <c r="A74" s="22">
        <f t="shared" ref="A74:A137" si="7">A73+1</f>
        <v>66</v>
      </c>
      <c r="B74" s="10">
        <f t="shared" si="4"/>
        <v>129</v>
      </c>
      <c r="C74" s="24" t="str">
        <f t="shared" ref="C74:C137" si="8">DEC2HEX(B74,4)</f>
        <v>0081</v>
      </c>
      <c r="D74" s="2" t="s">
        <v>7</v>
      </c>
      <c r="E74" s="19" t="s">
        <v>29</v>
      </c>
      <c r="F74" s="20" t="s">
        <v>98</v>
      </c>
      <c r="G74" s="2"/>
      <c r="H74" s="14"/>
      <c r="I74" s="14"/>
      <c r="J74" s="14"/>
      <c r="K74" s="14"/>
      <c r="L74" s="14"/>
      <c r="M74" s="14"/>
    </row>
    <row r="75" spans="1:14">
      <c r="A75" s="22">
        <f t="shared" si="7"/>
        <v>67</v>
      </c>
      <c r="B75" s="10">
        <f t="shared" si="4"/>
        <v>130</v>
      </c>
      <c r="C75" s="24" t="str">
        <f t="shared" si="8"/>
        <v>0082</v>
      </c>
      <c r="D75" s="2" t="str">
        <f>D74</f>
        <v>A7</v>
      </c>
      <c r="E75" s="2" t="s">
        <v>30</v>
      </c>
      <c r="F75" s="20" t="str">
        <f>F74</f>
        <v>R13 UPDATE IN 1 USEC SCREENS</v>
      </c>
      <c r="G75" s="2"/>
      <c r="H75" s="14"/>
      <c r="I75" s="14"/>
      <c r="J75" s="14"/>
      <c r="K75" s="14"/>
      <c r="L75" s="14"/>
      <c r="M75" s="14"/>
    </row>
    <row r="76" spans="1:14">
      <c r="A76" s="22">
        <f t="shared" si="7"/>
        <v>68</v>
      </c>
      <c r="B76" s="10">
        <f t="shared" si="4"/>
        <v>131</v>
      </c>
      <c r="C76" s="24" t="str">
        <f t="shared" si="8"/>
        <v>0083</v>
      </c>
      <c r="D76" s="2" t="str">
        <f t="shared" ref="D76:D78" si="9">D75</f>
        <v>A7</v>
      </c>
      <c r="E76" s="2" t="s">
        <v>31</v>
      </c>
      <c r="F76" s="20" t="str">
        <f t="shared" ref="F76:F78" si="10">F75</f>
        <v>R13 UPDATE IN 1 USEC SCREENS</v>
      </c>
      <c r="G76" s="2"/>
      <c r="H76" s="14"/>
      <c r="I76" s="14"/>
      <c r="J76" s="14"/>
      <c r="K76" s="14"/>
      <c r="L76" s="14"/>
      <c r="M76" s="14"/>
    </row>
    <row r="77" spans="1:14">
      <c r="A77" s="22">
        <f t="shared" si="7"/>
        <v>69</v>
      </c>
      <c r="B77" s="10">
        <f t="shared" si="4"/>
        <v>132</v>
      </c>
      <c r="C77" s="24" t="str">
        <f t="shared" si="8"/>
        <v>0084</v>
      </c>
      <c r="D77" s="2" t="str">
        <f t="shared" si="9"/>
        <v>A7</v>
      </c>
      <c r="E77" s="2" t="s">
        <v>32</v>
      </c>
      <c r="F77" s="20" t="str">
        <f t="shared" si="10"/>
        <v>R13 UPDATE IN 1 USEC SCREENS</v>
      </c>
      <c r="G77" s="2"/>
      <c r="H77" s="14"/>
      <c r="I77" s="14"/>
      <c r="J77" s="14"/>
      <c r="K77" s="14"/>
      <c r="L77" s="14"/>
      <c r="M77" s="14"/>
    </row>
    <row r="78" spans="1:14">
      <c r="A78" s="22">
        <f t="shared" si="7"/>
        <v>70</v>
      </c>
      <c r="B78" s="10">
        <f t="shared" si="4"/>
        <v>133</v>
      </c>
      <c r="C78" s="24" t="str">
        <f t="shared" si="8"/>
        <v>0085</v>
      </c>
      <c r="D78" s="2" t="str">
        <f t="shared" si="9"/>
        <v>A7</v>
      </c>
      <c r="E78" s="2" t="s">
        <v>33</v>
      </c>
      <c r="F78" s="20" t="str">
        <f t="shared" si="10"/>
        <v>R13 UPDATE IN 1 USEC SCREENS</v>
      </c>
      <c r="G78" s="2"/>
      <c r="H78" s="14"/>
      <c r="I78" s="14"/>
      <c r="J78" s="14"/>
      <c r="K78" s="14"/>
      <c r="L78" s="14"/>
      <c r="M78" s="14"/>
    </row>
    <row r="79" spans="1:14">
      <c r="A79" s="22">
        <f t="shared" si="7"/>
        <v>71</v>
      </c>
      <c r="B79" s="10">
        <f t="shared" si="4"/>
        <v>134</v>
      </c>
      <c r="C79" s="24" t="str">
        <f t="shared" si="8"/>
        <v>0086</v>
      </c>
      <c r="D79" s="2" t="s">
        <v>8</v>
      </c>
      <c r="E79" s="2" t="s">
        <v>29</v>
      </c>
      <c r="F79" s="20" t="s">
        <v>99</v>
      </c>
      <c r="G79" s="2"/>
      <c r="H79" s="14"/>
      <c r="I79" s="14"/>
      <c r="J79" s="14"/>
      <c r="K79" s="14"/>
      <c r="L79" s="14"/>
      <c r="M79" s="14"/>
    </row>
    <row r="80" spans="1:14">
      <c r="A80" s="22">
        <f t="shared" si="7"/>
        <v>72</v>
      </c>
      <c r="B80" s="10">
        <f t="shared" si="4"/>
        <v>135</v>
      </c>
      <c r="C80" s="24" t="str">
        <f t="shared" si="8"/>
        <v>0087</v>
      </c>
      <c r="D80" s="2" t="s">
        <v>9</v>
      </c>
      <c r="E80" s="2" t="s">
        <v>29</v>
      </c>
      <c r="F80" s="20" t="s">
        <v>100</v>
      </c>
      <c r="G80" s="2"/>
      <c r="H80" s="14"/>
      <c r="I80" s="14"/>
      <c r="J80" s="14"/>
      <c r="K80" s="14"/>
      <c r="L80" s="14"/>
      <c r="M80" s="14"/>
    </row>
    <row r="81" spans="1:13">
      <c r="A81" s="22">
        <f t="shared" si="7"/>
        <v>73</v>
      </c>
      <c r="B81" s="10">
        <f t="shared" si="4"/>
        <v>136</v>
      </c>
      <c r="C81" s="24" t="str">
        <f t="shared" si="8"/>
        <v>0088</v>
      </c>
      <c r="D81" s="2" t="s">
        <v>9</v>
      </c>
      <c r="E81" s="2" t="s">
        <v>30</v>
      </c>
      <c r="F81" s="20" t="str">
        <f>F80</f>
        <v>GATE ARRAY INKERISATION</v>
      </c>
      <c r="G81" s="2"/>
      <c r="H81" s="14"/>
      <c r="I81" s="14"/>
      <c r="J81" s="14"/>
      <c r="K81" s="14"/>
      <c r="L81" s="14"/>
      <c r="M81" s="14"/>
    </row>
    <row r="82" spans="1:13">
      <c r="A82" s="22">
        <f t="shared" si="7"/>
        <v>74</v>
      </c>
      <c r="B82" s="10">
        <f t="shared" si="4"/>
        <v>137</v>
      </c>
      <c r="C82" s="24" t="str">
        <f t="shared" si="8"/>
        <v>0089</v>
      </c>
      <c r="D82" s="2" t="s">
        <v>9</v>
      </c>
      <c r="E82" s="2" t="s">
        <v>31</v>
      </c>
      <c r="F82" s="20" t="str">
        <f>F81</f>
        <v>GATE ARRAY INKERISATION</v>
      </c>
      <c r="G82" s="2"/>
      <c r="H82" s="14"/>
      <c r="I82" s="14"/>
      <c r="J82" s="14"/>
      <c r="K82" s="14"/>
      <c r="L82" s="14"/>
      <c r="M82" s="14"/>
    </row>
    <row r="83" spans="1:13">
      <c r="A83" s="22">
        <f t="shared" si="7"/>
        <v>75</v>
      </c>
      <c r="B83" s="10">
        <f t="shared" si="4"/>
        <v>138</v>
      </c>
      <c r="C83" s="24" t="str">
        <f t="shared" si="8"/>
        <v>008A</v>
      </c>
      <c r="D83" s="2" t="s">
        <v>10</v>
      </c>
      <c r="E83" s="2" t="s">
        <v>29</v>
      </c>
      <c r="F83" s="20" t="s">
        <v>101</v>
      </c>
      <c r="G83" s="2"/>
      <c r="H83" s="14"/>
      <c r="I83" s="14"/>
      <c r="J83" s="14"/>
      <c r="K83" s="14"/>
      <c r="L83" s="14"/>
      <c r="M83" s="14"/>
    </row>
    <row r="84" spans="1:13">
      <c r="A84" s="22">
        <f t="shared" si="7"/>
        <v>76</v>
      </c>
      <c r="B84" s="10">
        <f t="shared" si="4"/>
        <v>139</v>
      </c>
      <c r="C84" s="24" t="str">
        <f t="shared" si="8"/>
        <v>008B</v>
      </c>
      <c r="D84" s="2" t="s">
        <v>10</v>
      </c>
      <c r="E84" s="2" t="s">
        <v>30</v>
      </c>
      <c r="F84" s="20" t="str">
        <f>F83</f>
        <v>CRTC 2 OFFSET</v>
      </c>
      <c r="G84" s="2"/>
      <c r="H84" s="14"/>
      <c r="I84" s="14"/>
      <c r="J84" s="14"/>
      <c r="K84" s="14"/>
      <c r="L84" s="14"/>
      <c r="M84" s="14"/>
    </row>
    <row r="85" spans="1:13">
      <c r="A85" s="22">
        <f t="shared" si="7"/>
        <v>77</v>
      </c>
      <c r="B85" s="10">
        <f t="shared" si="4"/>
        <v>140</v>
      </c>
      <c r="C85" s="24" t="str">
        <f t="shared" si="8"/>
        <v>008C</v>
      </c>
      <c r="D85" s="2" t="s">
        <v>11</v>
      </c>
      <c r="E85" s="2" t="s">
        <v>29</v>
      </c>
      <c r="F85" s="20" t="s">
        <v>102</v>
      </c>
      <c r="G85" s="2"/>
      <c r="H85" s="14"/>
      <c r="I85" s="14"/>
      <c r="J85" s="14"/>
      <c r="K85" s="14"/>
      <c r="L85" s="14"/>
      <c r="M85" s="14"/>
    </row>
    <row r="86" spans="1:13">
      <c r="A86" s="22">
        <f t="shared" si="7"/>
        <v>78</v>
      </c>
      <c r="B86" s="10">
        <f t="shared" si="4"/>
        <v>141</v>
      </c>
      <c r="C86" s="24" t="str">
        <f t="shared" si="8"/>
        <v>008D</v>
      </c>
      <c r="D86" s="2" t="s">
        <v>12</v>
      </c>
      <c r="E86" s="19" t="s">
        <v>29</v>
      </c>
      <c r="F86" s="20" t="s">
        <v>103</v>
      </c>
      <c r="G86" s="2"/>
      <c r="H86" s="14"/>
      <c r="I86" s="14"/>
      <c r="J86" s="14"/>
      <c r="K86" s="14"/>
      <c r="L86" s="14"/>
      <c r="M86" s="14"/>
    </row>
    <row r="87" spans="1:13">
      <c r="A87" s="22">
        <f t="shared" si="7"/>
        <v>79</v>
      </c>
      <c r="B87" s="10">
        <f t="shared" si="4"/>
        <v>142</v>
      </c>
      <c r="C87" s="24" t="str">
        <f t="shared" si="8"/>
        <v>008E</v>
      </c>
      <c r="D87" s="2" t="str">
        <f>D86</f>
        <v>AI</v>
      </c>
      <c r="E87" s="2" t="s">
        <v>30</v>
      </c>
      <c r="F87" s="20" t="str">
        <f>F86</f>
        <v>VSYNC CONDITIONS</v>
      </c>
      <c r="G87" s="2"/>
      <c r="H87" s="14"/>
      <c r="I87" s="14"/>
      <c r="J87" s="14"/>
      <c r="K87" s="14"/>
      <c r="L87" s="14"/>
      <c r="M87" s="14"/>
    </row>
    <row r="88" spans="1:13">
      <c r="A88" s="22">
        <f t="shared" si="7"/>
        <v>80</v>
      </c>
      <c r="B88" s="10">
        <f t="shared" si="4"/>
        <v>143</v>
      </c>
      <c r="C88" s="24" t="str">
        <f t="shared" si="8"/>
        <v>008F</v>
      </c>
      <c r="D88" s="2" t="str">
        <f>D87</f>
        <v>AI</v>
      </c>
      <c r="E88" s="2" t="s">
        <v>31</v>
      </c>
      <c r="F88" s="20" t="str">
        <f>F87</f>
        <v>VSYNC CONDITIONS</v>
      </c>
      <c r="G88" s="2"/>
      <c r="H88" s="14"/>
      <c r="I88" s="14"/>
      <c r="J88" s="14"/>
      <c r="K88" s="14"/>
      <c r="L88" s="14"/>
      <c r="M88" s="14"/>
    </row>
    <row r="89" spans="1:13">
      <c r="A89" s="22">
        <f t="shared" si="7"/>
        <v>81</v>
      </c>
      <c r="B89" s="10">
        <f t="shared" si="4"/>
        <v>144</v>
      </c>
      <c r="C89" s="24" t="str">
        <f t="shared" si="8"/>
        <v>0090</v>
      </c>
      <c r="D89" s="2" t="str">
        <f>D88</f>
        <v>AI</v>
      </c>
      <c r="E89" s="2" t="s">
        <v>32</v>
      </c>
      <c r="F89" s="20" t="str">
        <f>F88</f>
        <v>VSYNC CONDITIONS</v>
      </c>
      <c r="G89" s="2"/>
      <c r="H89" s="14"/>
      <c r="I89" s="14"/>
      <c r="J89" s="14"/>
      <c r="K89" s="14"/>
      <c r="L89" s="14"/>
      <c r="M89" s="14"/>
    </row>
    <row r="90" spans="1:13">
      <c r="A90" s="22">
        <f t="shared" si="7"/>
        <v>82</v>
      </c>
      <c r="B90" s="10">
        <f t="shared" si="4"/>
        <v>145</v>
      </c>
      <c r="C90" s="24" t="str">
        <f t="shared" si="8"/>
        <v>0091</v>
      </c>
      <c r="D90" s="2" t="str">
        <f>D89</f>
        <v>AI</v>
      </c>
      <c r="E90" s="2" t="s">
        <v>33</v>
      </c>
      <c r="F90" s="20" t="str">
        <f>F89</f>
        <v>VSYNC CONDITIONS</v>
      </c>
      <c r="G90" s="2"/>
      <c r="H90" s="14"/>
      <c r="I90" s="14"/>
      <c r="J90" s="14"/>
      <c r="K90" s="14"/>
      <c r="L90" s="14"/>
      <c r="M90" s="14"/>
    </row>
    <row r="91" spans="1:13">
      <c r="A91" s="22">
        <f t="shared" si="7"/>
        <v>83</v>
      </c>
      <c r="B91" s="10">
        <f t="shared" si="4"/>
        <v>146</v>
      </c>
      <c r="C91" s="24" t="str">
        <f t="shared" si="8"/>
        <v>0092</v>
      </c>
      <c r="D91" s="2" t="s">
        <v>104</v>
      </c>
      <c r="E91" s="19" t="s">
        <v>29</v>
      </c>
      <c r="F91" s="20" t="s">
        <v>105</v>
      </c>
      <c r="G91" s="2"/>
      <c r="H91" s="14"/>
      <c r="I91" s="14"/>
      <c r="J91" s="14"/>
      <c r="K91" s="14"/>
      <c r="L91" s="14"/>
      <c r="M91" s="14"/>
    </row>
    <row r="92" spans="1:13">
      <c r="A92" s="22">
        <f t="shared" si="7"/>
        <v>84</v>
      </c>
      <c r="B92" s="10">
        <f t="shared" si="4"/>
        <v>147</v>
      </c>
      <c r="C92" s="24" t="str">
        <f t="shared" si="8"/>
        <v>0093</v>
      </c>
      <c r="D92" s="2" t="str">
        <f>D91</f>
        <v>A0</v>
      </c>
      <c r="E92" s="2" t="s">
        <v>30</v>
      </c>
      <c r="F92" s="20" t="str">
        <f>F91</f>
        <v>R1 STORIES</v>
      </c>
      <c r="G92" s="2"/>
      <c r="H92" s="14"/>
      <c r="I92" s="14"/>
      <c r="J92" s="14"/>
      <c r="K92" s="14"/>
      <c r="L92" s="14"/>
      <c r="M92" s="14"/>
    </row>
    <row r="93" spans="1:13">
      <c r="A93" s="22">
        <f t="shared" si="7"/>
        <v>85</v>
      </c>
      <c r="B93" s="10">
        <f t="shared" si="4"/>
        <v>148</v>
      </c>
      <c r="C93" s="24" t="str">
        <f t="shared" si="8"/>
        <v>0094</v>
      </c>
      <c r="D93" s="2" t="str">
        <f>D92</f>
        <v>A0</v>
      </c>
      <c r="E93" s="2" t="s">
        <v>31</v>
      </c>
      <c r="F93" s="20" t="str">
        <f t="shared" ref="F93:F99" si="11">F92</f>
        <v>R1 STORIES</v>
      </c>
      <c r="G93" s="2"/>
      <c r="H93" s="14"/>
      <c r="I93" s="14"/>
      <c r="J93" s="14"/>
      <c r="K93" s="14"/>
      <c r="L93" s="14"/>
      <c r="M93" s="14"/>
    </row>
    <row r="94" spans="1:13">
      <c r="A94" s="22">
        <f t="shared" si="7"/>
        <v>86</v>
      </c>
      <c r="B94" s="10">
        <f t="shared" si="4"/>
        <v>149</v>
      </c>
      <c r="C94" s="24" t="str">
        <f t="shared" si="8"/>
        <v>0095</v>
      </c>
      <c r="D94" s="2" t="str">
        <f t="shared" ref="D94:D99" si="12">D93</f>
        <v>A0</v>
      </c>
      <c r="E94" s="2" t="s">
        <v>32</v>
      </c>
      <c r="F94" s="20" t="str">
        <f t="shared" si="11"/>
        <v>R1 STORIES</v>
      </c>
      <c r="G94" s="2"/>
      <c r="H94" s="14"/>
      <c r="I94" s="14"/>
      <c r="J94" s="14"/>
      <c r="K94" s="14"/>
      <c r="L94" s="14"/>
      <c r="M94" s="14"/>
    </row>
    <row r="95" spans="1:13">
      <c r="A95" s="22">
        <f t="shared" si="7"/>
        <v>87</v>
      </c>
      <c r="B95" s="10">
        <f t="shared" si="4"/>
        <v>150</v>
      </c>
      <c r="C95" s="24" t="str">
        <f t="shared" si="8"/>
        <v>0096</v>
      </c>
      <c r="D95" s="2" t="str">
        <f t="shared" si="12"/>
        <v>A0</v>
      </c>
      <c r="E95" s="2" t="s">
        <v>33</v>
      </c>
      <c r="F95" s="20" t="str">
        <f t="shared" si="11"/>
        <v>R1 STORIES</v>
      </c>
      <c r="G95" s="2"/>
      <c r="H95" s="14"/>
      <c r="I95" s="14"/>
      <c r="J95" s="14"/>
      <c r="K95" s="14"/>
      <c r="L95" s="14"/>
      <c r="M95" s="14"/>
    </row>
    <row r="96" spans="1:13">
      <c r="A96" s="22">
        <f t="shared" si="7"/>
        <v>88</v>
      </c>
      <c r="B96" s="10">
        <f t="shared" si="4"/>
        <v>151</v>
      </c>
      <c r="C96" s="24" t="str">
        <f t="shared" si="8"/>
        <v>0097</v>
      </c>
      <c r="D96" s="2" t="str">
        <f t="shared" si="12"/>
        <v>A0</v>
      </c>
      <c r="E96" s="2" t="s">
        <v>106</v>
      </c>
      <c r="F96" s="20" t="str">
        <f t="shared" si="11"/>
        <v>R1 STORIES</v>
      </c>
      <c r="G96" s="2"/>
      <c r="H96" s="14"/>
      <c r="I96" s="14"/>
      <c r="J96" s="14"/>
      <c r="K96" s="14"/>
      <c r="L96" s="14"/>
      <c r="M96" s="14"/>
    </row>
    <row r="97" spans="1:13">
      <c r="A97" s="22">
        <f t="shared" si="7"/>
        <v>89</v>
      </c>
      <c r="B97" s="10">
        <f t="shared" si="4"/>
        <v>152</v>
      </c>
      <c r="C97" s="24" t="str">
        <f t="shared" si="8"/>
        <v>0098</v>
      </c>
      <c r="D97" s="2" t="str">
        <f t="shared" si="12"/>
        <v>A0</v>
      </c>
      <c r="E97" s="2" t="s">
        <v>107</v>
      </c>
      <c r="F97" s="20" t="str">
        <f t="shared" si="11"/>
        <v>R1 STORIES</v>
      </c>
      <c r="G97" s="2"/>
      <c r="H97" s="14"/>
      <c r="I97" s="14"/>
      <c r="J97" s="14"/>
      <c r="K97" s="14"/>
      <c r="L97" s="14"/>
      <c r="M97" s="14"/>
    </row>
    <row r="98" spans="1:13">
      <c r="A98" s="22">
        <f t="shared" si="7"/>
        <v>90</v>
      </c>
      <c r="B98" s="10">
        <f t="shared" si="4"/>
        <v>153</v>
      </c>
      <c r="C98" s="24" t="str">
        <f t="shared" si="8"/>
        <v>0099</v>
      </c>
      <c r="D98" s="2" t="str">
        <f t="shared" si="12"/>
        <v>A0</v>
      </c>
      <c r="E98" s="2" t="s">
        <v>108</v>
      </c>
      <c r="F98" s="20" t="str">
        <f t="shared" si="11"/>
        <v>R1 STORIES</v>
      </c>
      <c r="G98" s="2"/>
      <c r="H98" s="14"/>
      <c r="I98" s="14"/>
      <c r="J98" s="14"/>
      <c r="K98" s="14"/>
      <c r="L98" s="14"/>
      <c r="M98" s="14"/>
    </row>
    <row r="99" spans="1:13">
      <c r="A99" s="22">
        <f t="shared" si="7"/>
        <v>91</v>
      </c>
      <c r="B99" s="10">
        <f t="shared" si="4"/>
        <v>154</v>
      </c>
      <c r="C99" s="24" t="str">
        <f t="shared" si="8"/>
        <v>009A</v>
      </c>
      <c r="D99" s="2" t="str">
        <f t="shared" si="12"/>
        <v>A0</v>
      </c>
      <c r="E99" s="2" t="s">
        <v>109</v>
      </c>
      <c r="F99" s="20" t="str">
        <f t="shared" si="11"/>
        <v>R1 STORIES</v>
      </c>
      <c r="G99" s="2"/>
      <c r="H99" s="14"/>
      <c r="I99" s="14"/>
      <c r="J99" s="14"/>
      <c r="K99" s="14"/>
      <c r="L99" s="14"/>
      <c r="M99" s="14"/>
    </row>
    <row r="100" spans="1:13">
      <c r="A100" s="22">
        <f t="shared" si="7"/>
        <v>92</v>
      </c>
      <c r="B100" s="10">
        <f t="shared" si="4"/>
        <v>155</v>
      </c>
      <c r="C100" s="24" t="str">
        <f t="shared" si="8"/>
        <v>009B</v>
      </c>
      <c r="D100" s="2" t="s">
        <v>13</v>
      </c>
      <c r="E100" s="2" t="s">
        <v>1</v>
      </c>
      <c r="F100" s="20" t="s">
        <v>110</v>
      </c>
      <c r="G100" s="2"/>
      <c r="H100" s="14"/>
      <c r="I100" s="14"/>
      <c r="J100" s="14"/>
      <c r="K100" s="14"/>
      <c r="L100" s="14"/>
      <c r="M100" s="14"/>
    </row>
    <row r="101" spans="1:13">
      <c r="A101" s="22">
        <f t="shared" si="7"/>
        <v>93</v>
      </c>
      <c r="B101" s="10">
        <f t="shared" si="4"/>
        <v>156</v>
      </c>
      <c r="C101" s="24" t="str">
        <f t="shared" si="8"/>
        <v>009C</v>
      </c>
      <c r="D101" s="2" t="str">
        <f>D100</f>
        <v>AP</v>
      </c>
      <c r="E101" s="2" t="s">
        <v>2</v>
      </c>
      <c r="F101" s="20" t="str">
        <f>F100</f>
        <v>R6 STORIES</v>
      </c>
      <c r="G101" s="2"/>
      <c r="H101" s="14"/>
      <c r="I101" s="14"/>
      <c r="J101" s="14"/>
      <c r="K101" s="14"/>
      <c r="L101" s="14"/>
      <c r="M101" s="14"/>
    </row>
    <row r="102" spans="1:13">
      <c r="A102" s="22">
        <f t="shared" si="7"/>
        <v>94</v>
      </c>
      <c r="B102" s="10">
        <f t="shared" si="4"/>
        <v>157</v>
      </c>
      <c r="C102" s="24" t="str">
        <f t="shared" si="8"/>
        <v>009D</v>
      </c>
      <c r="D102" s="2" t="str">
        <f t="shared" ref="D102:D111" si="13">D101</f>
        <v>AP</v>
      </c>
      <c r="E102" s="2" t="s">
        <v>30</v>
      </c>
      <c r="F102" s="20" t="str">
        <f t="shared" ref="F102:F111" si="14">F101</f>
        <v>R6 STORIES</v>
      </c>
      <c r="G102" s="2"/>
      <c r="H102" s="14"/>
      <c r="I102" s="14"/>
      <c r="J102" s="14"/>
      <c r="K102" s="14"/>
      <c r="L102" s="14"/>
      <c r="M102" s="14"/>
    </row>
    <row r="103" spans="1:13">
      <c r="A103" s="22">
        <f t="shared" si="7"/>
        <v>95</v>
      </c>
      <c r="B103" s="10">
        <f t="shared" si="4"/>
        <v>158</v>
      </c>
      <c r="C103" s="24" t="str">
        <f t="shared" si="8"/>
        <v>009E</v>
      </c>
      <c r="D103" s="2" t="str">
        <f t="shared" si="13"/>
        <v>AP</v>
      </c>
      <c r="E103" s="2" t="s">
        <v>31</v>
      </c>
      <c r="F103" s="20" t="str">
        <f t="shared" si="14"/>
        <v>R6 STORIES</v>
      </c>
      <c r="G103" s="2"/>
      <c r="H103" s="14"/>
      <c r="I103" s="14"/>
      <c r="J103" s="14"/>
      <c r="K103" s="14"/>
      <c r="L103" s="14"/>
      <c r="M103" s="14"/>
    </row>
    <row r="104" spans="1:13">
      <c r="A104" s="22">
        <f t="shared" si="7"/>
        <v>96</v>
      </c>
      <c r="B104" s="10">
        <f t="shared" si="4"/>
        <v>159</v>
      </c>
      <c r="C104" s="24" t="str">
        <f t="shared" si="8"/>
        <v>009F</v>
      </c>
      <c r="D104" s="2" t="str">
        <f t="shared" si="13"/>
        <v>AP</v>
      </c>
      <c r="E104" s="2" t="s">
        <v>32</v>
      </c>
      <c r="F104" s="20" t="str">
        <f t="shared" si="14"/>
        <v>R6 STORIES</v>
      </c>
      <c r="G104" s="2"/>
      <c r="H104" s="14"/>
      <c r="I104" s="14"/>
      <c r="J104" s="14"/>
      <c r="K104" s="14"/>
      <c r="L104" s="14"/>
      <c r="M104" s="14"/>
    </row>
    <row r="105" spans="1:13">
      <c r="A105" s="22">
        <f t="shared" si="7"/>
        <v>97</v>
      </c>
      <c r="B105" s="10">
        <f>B104+5</f>
        <v>164</v>
      </c>
      <c r="C105" s="24" t="str">
        <f t="shared" si="8"/>
        <v>00A4</v>
      </c>
      <c r="D105" s="2" t="str">
        <f t="shared" si="13"/>
        <v>AP</v>
      </c>
      <c r="E105" s="2" t="s">
        <v>33</v>
      </c>
      <c r="F105" s="20" t="str">
        <f t="shared" si="14"/>
        <v>R6 STORIES</v>
      </c>
      <c r="G105" s="2"/>
      <c r="H105" s="14"/>
      <c r="I105" s="14"/>
      <c r="J105" s="14"/>
      <c r="K105" s="14"/>
      <c r="L105" s="14"/>
      <c r="M105" s="14"/>
    </row>
    <row r="106" spans="1:13">
      <c r="A106" s="22">
        <f t="shared" si="7"/>
        <v>98</v>
      </c>
      <c r="B106" s="10">
        <f>B105+1</f>
        <v>165</v>
      </c>
      <c r="C106" s="24" t="str">
        <f t="shared" si="8"/>
        <v>00A5</v>
      </c>
      <c r="D106" s="2" t="str">
        <f t="shared" si="13"/>
        <v>AP</v>
      </c>
      <c r="E106" s="2" t="s">
        <v>106</v>
      </c>
      <c r="F106" s="20" t="str">
        <f t="shared" si="14"/>
        <v>R6 STORIES</v>
      </c>
      <c r="G106" s="2"/>
      <c r="H106" s="14"/>
      <c r="I106" s="14"/>
      <c r="J106" s="14"/>
      <c r="K106" s="14"/>
      <c r="L106" s="14"/>
      <c r="M106" s="14"/>
    </row>
    <row r="107" spans="1:13">
      <c r="A107" s="22">
        <f t="shared" si="7"/>
        <v>99</v>
      </c>
      <c r="B107" s="10">
        <f>B106+1</f>
        <v>166</v>
      </c>
      <c r="C107" s="24" t="str">
        <f t="shared" si="8"/>
        <v>00A6</v>
      </c>
      <c r="D107" s="2" t="str">
        <f t="shared" si="13"/>
        <v>AP</v>
      </c>
      <c r="E107" s="2" t="s">
        <v>107</v>
      </c>
      <c r="F107" s="20" t="str">
        <f t="shared" si="14"/>
        <v>R6 STORIES</v>
      </c>
      <c r="G107" s="2"/>
      <c r="H107" s="14"/>
      <c r="I107" s="14"/>
      <c r="J107" s="14"/>
      <c r="K107" s="14"/>
      <c r="L107" s="14"/>
      <c r="M107" s="14"/>
    </row>
    <row r="108" spans="1:13">
      <c r="A108" s="22">
        <f t="shared" si="7"/>
        <v>100</v>
      </c>
      <c r="B108" s="10">
        <f t="shared" ref="B108" si="15">B107+1</f>
        <v>167</v>
      </c>
      <c r="C108" s="24" t="str">
        <f t="shared" si="8"/>
        <v>00A7</v>
      </c>
      <c r="D108" s="2" t="str">
        <f t="shared" si="13"/>
        <v>AP</v>
      </c>
      <c r="E108" s="2" t="s">
        <v>108</v>
      </c>
      <c r="F108" s="20" t="str">
        <f t="shared" si="14"/>
        <v>R6 STORIES</v>
      </c>
      <c r="G108" s="2"/>
      <c r="H108" s="14"/>
      <c r="I108" s="14"/>
      <c r="J108" s="14"/>
      <c r="K108" s="14"/>
      <c r="L108" s="14"/>
      <c r="M108" s="14"/>
    </row>
    <row r="109" spans="1:13">
      <c r="A109" s="22">
        <f t="shared" si="7"/>
        <v>101</v>
      </c>
      <c r="B109" s="10">
        <f>B108+5</f>
        <v>172</v>
      </c>
      <c r="C109" s="24" t="str">
        <f t="shared" si="8"/>
        <v>00AC</v>
      </c>
      <c r="D109" s="2" t="str">
        <f t="shared" si="13"/>
        <v>AP</v>
      </c>
      <c r="E109" s="2" t="s">
        <v>109</v>
      </c>
      <c r="F109" s="20" t="str">
        <f t="shared" si="14"/>
        <v>R6 STORIES</v>
      </c>
      <c r="G109" s="2"/>
      <c r="H109" s="14"/>
      <c r="I109" s="14"/>
      <c r="J109" s="14"/>
      <c r="K109" s="14"/>
      <c r="L109" s="14"/>
      <c r="M109" s="14"/>
    </row>
    <row r="110" spans="1:13">
      <c r="A110" s="22">
        <f t="shared" si="7"/>
        <v>102</v>
      </c>
      <c r="B110" s="10">
        <f>B109+1</f>
        <v>173</v>
      </c>
      <c r="C110" s="24" t="str">
        <f t="shared" si="8"/>
        <v>00AD</v>
      </c>
      <c r="D110" s="2" t="str">
        <f t="shared" si="13"/>
        <v>AP</v>
      </c>
      <c r="E110" s="2" t="s">
        <v>111</v>
      </c>
      <c r="F110" s="20" t="str">
        <f t="shared" si="14"/>
        <v>R6 STORIES</v>
      </c>
      <c r="G110" s="2"/>
      <c r="H110" s="14"/>
      <c r="I110" s="14"/>
      <c r="J110" s="14"/>
      <c r="K110" s="14"/>
      <c r="L110" s="14"/>
      <c r="M110" s="14"/>
    </row>
    <row r="111" spans="1:13">
      <c r="A111" s="22">
        <f t="shared" si="7"/>
        <v>103</v>
      </c>
      <c r="B111" s="10">
        <f t="shared" ref="B111:B112" si="16">B110+1</f>
        <v>174</v>
      </c>
      <c r="C111" s="24" t="str">
        <f t="shared" si="8"/>
        <v>00AE</v>
      </c>
      <c r="D111" s="2" t="str">
        <f t="shared" si="13"/>
        <v>AP</v>
      </c>
      <c r="E111" s="2" t="s">
        <v>112</v>
      </c>
      <c r="F111" s="20" t="str">
        <f t="shared" si="14"/>
        <v>R6 STORIES</v>
      </c>
      <c r="G111" s="2"/>
      <c r="H111" s="14"/>
      <c r="I111" s="14"/>
      <c r="J111" s="14"/>
      <c r="K111" s="14"/>
      <c r="L111" s="14"/>
      <c r="M111" s="14"/>
    </row>
    <row r="112" spans="1:13">
      <c r="A112" s="22">
        <f t="shared" si="7"/>
        <v>104</v>
      </c>
      <c r="B112" s="10">
        <f t="shared" si="16"/>
        <v>175</v>
      </c>
      <c r="C112" s="24" t="str">
        <f t="shared" si="8"/>
        <v>00AF</v>
      </c>
      <c r="D112" s="2" t="s">
        <v>14</v>
      </c>
      <c r="E112" s="2" t="s">
        <v>1</v>
      </c>
      <c r="F112" s="20" t="s">
        <v>113</v>
      </c>
      <c r="G112" s="2"/>
      <c r="H112" s="14"/>
      <c r="I112" s="14"/>
      <c r="J112" s="14"/>
      <c r="K112" s="14"/>
      <c r="L112" s="14"/>
      <c r="M112" s="14"/>
    </row>
    <row r="113" spans="1:13">
      <c r="A113" s="22">
        <f t="shared" si="7"/>
        <v>105</v>
      </c>
      <c r="B113" s="10">
        <f>B112+5</f>
        <v>180</v>
      </c>
      <c r="C113" s="24" t="str">
        <f t="shared" si="8"/>
        <v>00B4</v>
      </c>
      <c r="D113" s="2" t="str">
        <f>D112</f>
        <v>AR</v>
      </c>
      <c r="E113" s="2" t="s">
        <v>2</v>
      </c>
      <c r="F113" s="20" t="str">
        <f>F112</f>
        <v>MODE UPD &gt; HSYNC DELAY</v>
      </c>
      <c r="G113" s="2"/>
      <c r="H113" s="14"/>
      <c r="I113" s="14"/>
      <c r="J113" s="14"/>
      <c r="K113" s="14"/>
      <c r="L113" s="14"/>
      <c r="M113" s="14"/>
    </row>
    <row r="114" spans="1:13">
      <c r="A114" s="22">
        <f t="shared" si="7"/>
        <v>106</v>
      </c>
      <c r="B114" s="10">
        <f>B113+1</f>
        <v>181</v>
      </c>
      <c r="C114" s="24" t="str">
        <f t="shared" si="8"/>
        <v>00B5</v>
      </c>
      <c r="D114" s="2" t="str">
        <f t="shared" ref="D114:D117" si="17">D113</f>
        <v>AR</v>
      </c>
      <c r="E114" s="2" t="s">
        <v>19</v>
      </c>
      <c r="F114" s="20" t="str">
        <f t="shared" ref="F114:F117" si="18">F113</f>
        <v>MODE UPD &gt; HSYNC DELAY</v>
      </c>
      <c r="G114" s="2"/>
      <c r="H114" s="14"/>
      <c r="I114" s="14"/>
      <c r="J114" s="14"/>
      <c r="K114" s="14"/>
      <c r="L114" s="14"/>
      <c r="M114" s="14"/>
    </row>
    <row r="115" spans="1:13">
      <c r="A115" s="22">
        <f t="shared" si="7"/>
        <v>107</v>
      </c>
      <c r="B115" s="10">
        <f>B114+1</f>
        <v>182</v>
      </c>
      <c r="C115" s="24" t="str">
        <f t="shared" si="8"/>
        <v>00B6</v>
      </c>
      <c r="D115" s="2" t="str">
        <f t="shared" si="17"/>
        <v>AR</v>
      </c>
      <c r="E115" s="2" t="s">
        <v>20</v>
      </c>
      <c r="F115" s="20" t="str">
        <f t="shared" si="18"/>
        <v>MODE UPD &gt; HSYNC DELAY</v>
      </c>
      <c r="G115" s="2"/>
      <c r="H115" s="14"/>
      <c r="I115" s="14"/>
      <c r="J115" s="14"/>
      <c r="K115" s="14"/>
      <c r="L115" s="14"/>
      <c r="M115" s="14"/>
    </row>
    <row r="116" spans="1:13">
      <c r="A116" s="22">
        <f t="shared" si="7"/>
        <v>108</v>
      </c>
      <c r="B116" s="10">
        <f>B115+1</f>
        <v>183</v>
      </c>
      <c r="C116" s="24" t="str">
        <f t="shared" si="8"/>
        <v>00B7</v>
      </c>
      <c r="D116" s="2" t="str">
        <f t="shared" si="17"/>
        <v>AR</v>
      </c>
      <c r="E116" s="2" t="s">
        <v>43</v>
      </c>
      <c r="F116" s="20" t="str">
        <f t="shared" si="18"/>
        <v>MODE UPD &gt; HSYNC DELAY</v>
      </c>
      <c r="G116" s="2"/>
      <c r="H116" s="14"/>
      <c r="I116" s="14"/>
      <c r="J116" s="14"/>
      <c r="K116" s="14"/>
      <c r="L116" s="14"/>
      <c r="M116" s="14"/>
    </row>
    <row r="117" spans="1:13">
      <c r="A117" s="22">
        <f t="shared" si="7"/>
        <v>109</v>
      </c>
      <c r="B117" s="10">
        <f>B116+5</f>
        <v>188</v>
      </c>
      <c r="C117" s="24" t="str">
        <f t="shared" si="8"/>
        <v>00BC</v>
      </c>
      <c r="D117" s="2" t="str">
        <f t="shared" si="17"/>
        <v>AR</v>
      </c>
      <c r="E117" s="2" t="s">
        <v>44</v>
      </c>
      <c r="F117" s="20" t="str">
        <f t="shared" si="18"/>
        <v>MODE UPD &gt; HSYNC DELAY</v>
      </c>
      <c r="G117" s="2"/>
      <c r="H117" s="14"/>
      <c r="I117" s="14"/>
      <c r="J117" s="14"/>
      <c r="K117" s="14"/>
      <c r="L117" s="14"/>
      <c r="M117" s="14"/>
    </row>
    <row r="118" spans="1:13">
      <c r="A118" s="22">
        <f t="shared" si="7"/>
        <v>110</v>
      </c>
      <c r="B118" s="10">
        <f>B117+1</f>
        <v>189</v>
      </c>
      <c r="C118" s="24" t="str">
        <f t="shared" si="8"/>
        <v>00BD</v>
      </c>
      <c r="D118" s="2" t="s">
        <v>15</v>
      </c>
      <c r="E118" s="2" t="s">
        <v>29</v>
      </c>
      <c r="F118" s="20" t="s">
        <v>114</v>
      </c>
      <c r="G118" s="2"/>
      <c r="H118" s="14"/>
      <c r="I118" s="14"/>
      <c r="J118" s="14"/>
      <c r="K118" s="14"/>
      <c r="L118" s="14"/>
      <c r="M118" s="14"/>
    </row>
    <row r="119" spans="1:13">
      <c r="A119" s="22">
        <f t="shared" si="7"/>
        <v>111</v>
      </c>
      <c r="B119" s="10">
        <f>B118+1</f>
        <v>190</v>
      </c>
      <c r="C119" s="24" t="str">
        <f t="shared" si="8"/>
        <v>00BE</v>
      </c>
      <c r="D119" s="2" t="str">
        <f>D118</f>
        <v>AT</v>
      </c>
      <c r="E119" s="2" t="s">
        <v>30</v>
      </c>
      <c r="F119" s="20" t="str">
        <f>F118</f>
        <v>R2 UPD DURING &amp; AFTER HSYNC</v>
      </c>
      <c r="G119" s="2"/>
      <c r="H119" s="14"/>
      <c r="I119" s="14"/>
      <c r="J119" s="14"/>
      <c r="K119" s="14"/>
      <c r="L119" s="14"/>
      <c r="M119" s="14"/>
    </row>
    <row r="120" spans="1:13">
      <c r="A120" s="22">
        <f t="shared" si="7"/>
        <v>112</v>
      </c>
      <c r="B120" s="10">
        <f>B119+1</f>
        <v>191</v>
      </c>
      <c r="C120" s="24" t="str">
        <f t="shared" si="8"/>
        <v>00BF</v>
      </c>
      <c r="D120" s="2" t="str">
        <f t="shared" ref="D120:D123" si="19">D119</f>
        <v>AT</v>
      </c>
      <c r="E120" s="2" t="s">
        <v>31</v>
      </c>
      <c r="F120" s="20" t="str">
        <f t="shared" ref="F120:F123" si="20">F119</f>
        <v>R2 UPD DURING &amp; AFTER HSYNC</v>
      </c>
      <c r="G120" s="2"/>
      <c r="H120" s="14"/>
      <c r="I120" s="14"/>
      <c r="J120" s="14"/>
      <c r="K120" s="14"/>
      <c r="L120" s="14"/>
      <c r="M120" s="14"/>
    </row>
    <row r="121" spans="1:13">
      <c r="A121" s="22">
        <f t="shared" si="7"/>
        <v>113</v>
      </c>
      <c r="B121" s="10">
        <f>B120+1</f>
        <v>192</v>
      </c>
      <c r="C121" s="24" t="str">
        <f t="shared" si="8"/>
        <v>00C0</v>
      </c>
      <c r="D121" s="2" t="str">
        <f t="shared" si="19"/>
        <v>AT</v>
      </c>
      <c r="E121" s="2" t="s">
        <v>32</v>
      </c>
      <c r="F121" s="20" t="str">
        <f t="shared" si="20"/>
        <v>R2 UPD DURING &amp; AFTER HSYNC</v>
      </c>
      <c r="G121" s="2"/>
      <c r="H121" s="14"/>
      <c r="I121" s="14"/>
      <c r="J121" s="14"/>
      <c r="K121" s="14"/>
      <c r="L121" s="14"/>
      <c r="M121" s="14"/>
    </row>
    <row r="122" spans="1:13">
      <c r="A122" s="22">
        <f t="shared" si="7"/>
        <v>114</v>
      </c>
      <c r="B122" s="10">
        <f t="shared" ref="B122:B184" si="21">B121+1</f>
        <v>193</v>
      </c>
      <c r="C122" s="24" t="str">
        <f t="shared" si="8"/>
        <v>00C1</v>
      </c>
      <c r="D122" s="2" t="str">
        <f t="shared" si="19"/>
        <v>AT</v>
      </c>
      <c r="E122" s="2" t="s">
        <v>33</v>
      </c>
      <c r="F122" s="20" t="str">
        <f t="shared" si="20"/>
        <v>R2 UPD DURING &amp; AFTER HSYNC</v>
      </c>
      <c r="G122" s="2"/>
      <c r="H122" s="14"/>
      <c r="I122" s="14"/>
      <c r="J122" s="14"/>
    </row>
    <row r="123" spans="1:13">
      <c r="A123" s="22">
        <f t="shared" si="7"/>
        <v>115</v>
      </c>
      <c r="B123" s="10">
        <f t="shared" si="21"/>
        <v>194</v>
      </c>
      <c r="C123" s="24" t="str">
        <f t="shared" si="8"/>
        <v>00C2</v>
      </c>
      <c r="D123" s="2" t="str">
        <f t="shared" si="19"/>
        <v>AT</v>
      </c>
      <c r="E123" s="2" t="s">
        <v>106</v>
      </c>
      <c r="F123" s="20" t="str">
        <f t="shared" si="20"/>
        <v>R2 UPD DURING &amp; AFTER HSYNC</v>
      </c>
      <c r="G123" s="2"/>
      <c r="H123" s="14"/>
      <c r="I123" s="14"/>
      <c r="J123" s="14"/>
    </row>
    <row r="124" spans="1:13">
      <c r="A124" s="22">
        <f t="shared" si="7"/>
        <v>116</v>
      </c>
      <c r="B124" s="10">
        <f t="shared" si="21"/>
        <v>195</v>
      </c>
      <c r="C124" s="24" t="str">
        <f t="shared" si="8"/>
        <v>00C3</v>
      </c>
      <c r="D124" s="2" t="s">
        <v>16</v>
      </c>
      <c r="E124" s="2" t="s">
        <v>29</v>
      </c>
      <c r="F124" s="20" t="s">
        <v>115</v>
      </c>
      <c r="G124" s="2"/>
      <c r="H124" s="14"/>
      <c r="I124" s="14"/>
      <c r="J124" s="14"/>
    </row>
    <row r="125" spans="1:13">
      <c r="A125" s="22">
        <f t="shared" si="7"/>
        <v>117</v>
      </c>
      <c r="B125" s="10">
        <f t="shared" si="21"/>
        <v>196</v>
      </c>
      <c r="C125" s="24" t="str">
        <f t="shared" si="8"/>
        <v>00C4</v>
      </c>
      <c r="D125" s="2" t="s">
        <v>17</v>
      </c>
      <c r="E125" s="2" t="s">
        <v>29</v>
      </c>
      <c r="F125" s="20" t="s">
        <v>116</v>
      </c>
      <c r="G125" s="2"/>
      <c r="H125" s="14"/>
      <c r="I125" s="14"/>
      <c r="J125" s="14"/>
    </row>
    <row r="126" spans="1:13">
      <c r="A126" s="22">
        <f t="shared" si="7"/>
        <v>118</v>
      </c>
      <c r="B126" s="10">
        <f t="shared" si="21"/>
        <v>197</v>
      </c>
      <c r="C126" s="24" t="str">
        <f t="shared" si="8"/>
        <v>00C5</v>
      </c>
      <c r="D126" s="2" t="str">
        <f>D125</f>
        <v>AY</v>
      </c>
      <c r="E126" s="2" t="s">
        <v>30</v>
      </c>
      <c r="F126" s="20" t="str">
        <f>F125</f>
        <v>R3 UPD DURING HSYNC</v>
      </c>
      <c r="G126" s="2"/>
      <c r="H126" s="14"/>
      <c r="I126" s="14"/>
      <c r="J126" s="14"/>
    </row>
    <row r="127" spans="1:13">
      <c r="A127" s="22">
        <f t="shared" si="7"/>
        <v>119</v>
      </c>
      <c r="B127" s="10">
        <f t="shared" si="21"/>
        <v>198</v>
      </c>
      <c r="C127" s="24" t="str">
        <f t="shared" si="8"/>
        <v>00C6</v>
      </c>
      <c r="D127" s="2" t="str">
        <f t="shared" ref="D127:D131" si="22">D126</f>
        <v>AY</v>
      </c>
      <c r="E127" s="2" t="s">
        <v>31</v>
      </c>
      <c r="F127" s="20" t="str">
        <f t="shared" ref="F127:F131" si="23">F126</f>
        <v>R3 UPD DURING HSYNC</v>
      </c>
      <c r="G127" s="2"/>
      <c r="H127" s="14"/>
      <c r="I127" s="14"/>
      <c r="J127" s="14"/>
    </row>
    <row r="128" spans="1:13">
      <c r="A128" s="22">
        <f t="shared" si="7"/>
        <v>120</v>
      </c>
      <c r="B128" s="10">
        <f t="shared" si="21"/>
        <v>199</v>
      </c>
      <c r="C128" s="24" t="str">
        <f t="shared" si="8"/>
        <v>00C7</v>
      </c>
      <c r="D128" s="2" t="str">
        <f t="shared" si="22"/>
        <v>AY</v>
      </c>
      <c r="E128" s="2" t="s">
        <v>32</v>
      </c>
      <c r="F128" s="20" t="str">
        <f t="shared" si="23"/>
        <v>R3 UPD DURING HSYNC</v>
      </c>
      <c r="G128" s="2"/>
      <c r="H128" s="14"/>
      <c r="I128" s="14"/>
      <c r="J128" s="14"/>
    </row>
    <row r="129" spans="1:10">
      <c r="A129" s="22">
        <f t="shared" si="7"/>
        <v>121</v>
      </c>
      <c r="B129" s="10">
        <f t="shared" si="21"/>
        <v>200</v>
      </c>
      <c r="C129" s="24" t="str">
        <f t="shared" si="8"/>
        <v>00C8</v>
      </c>
      <c r="D129" s="2" t="str">
        <f t="shared" si="22"/>
        <v>AY</v>
      </c>
      <c r="E129" s="2" t="s">
        <v>33</v>
      </c>
      <c r="F129" s="20" t="str">
        <f t="shared" si="23"/>
        <v>R3 UPD DURING HSYNC</v>
      </c>
      <c r="G129" s="2"/>
      <c r="H129" s="14"/>
      <c r="I129" s="14"/>
      <c r="J129" s="14"/>
    </row>
    <row r="130" spans="1:10">
      <c r="A130" s="22">
        <f t="shared" si="7"/>
        <v>122</v>
      </c>
      <c r="B130" s="10">
        <f t="shared" si="21"/>
        <v>201</v>
      </c>
      <c r="C130" s="24" t="str">
        <f t="shared" si="8"/>
        <v>00C9</v>
      </c>
      <c r="D130" s="2" t="str">
        <f t="shared" si="22"/>
        <v>AY</v>
      </c>
      <c r="E130" s="2" t="s">
        <v>106</v>
      </c>
      <c r="F130" s="20" t="str">
        <f t="shared" si="23"/>
        <v>R3 UPD DURING HSYNC</v>
      </c>
      <c r="G130" s="2"/>
      <c r="H130" s="14"/>
      <c r="I130" s="14"/>
      <c r="J130" s="14"/>
    </row>
    <row r="131" spans="1:10">
      <c r="A131" s="22">
        <f t="shared" si="7"/>
        <v>123</v>
      </c>
      <c r="B131" s="10">
        <f t="shared" si="21"/>
        <v>202</v>
      </c>
      <c r="C131" s="24" t="str">
        <f t="shared" si="8"/>
        <v>00CA</v>
      </c>
      <c r="D131" s="2" t="str">
        <f t="shared" si="22"/>
        <v>AY</v>
      </c>
      <c r="E131" s="2" t="s">
        <v>107</v>
      </c>
      <c r="F131" s="20" t="str">
        <f t="shared" si="23"/>
        <v>R3 UPD DURING HSYNC</v>
      </c>
      <c r="G131" s="2"/>
      <c r="H131" s="14"/>
      <c r="I131" s="14"/>
      <c r="J131" s="14"/>
    </row>
    <row r="132" spans="1:10">
      <c r="A132" s="22">
        <f t="shared" si="7"/>
        <v>124</v>
      </c>
      <c r="B132" s="10">
        <f t="shared" si="21"/>
        <v>203</v>
      </c>
      <c r="C132" s="24" t="str">
        <f t="shared" si="8"/>
        <v>00CB</v>
      </c>
      <c r="D132" s="2" t="s">
        <v>18</v>
      </c>
      <c r="E132" s="2" t="s">
        <v>29</v>
      </c>
      <c r="F132" s="20" t="s">
        <v>117</v>
      </c>
      <c r="G132" s="2"/>
      <c r="H132" s="14"/>
      <c r="I132" s="14"/>
      <c r="J132" s="14"/>
    </row>
    <row r="133" spans="1:10">
      <c r="A133" s="22">
        <f t="shared" si="7"/>
        <v>125</v>
      </c>
      <c r="B133" s="10">
        <f t="shared" si="21"/>
        <v>204</v>
      </c>
      <c r="C133" s="24" t="str">
        <f t="shared" si="8"/>
        <v>00CC</v>
      </c>
      <c r="D133" s="2" t="str">
        <f>D132</f>
        <v>B0</v>
      </c>
      <c r="E133" s="2" t="s">
        <v>30</v>
      </c>
      <c r="F133" s="20" t="str">
        <f>F132</f>
        <v>VERTICAL SCROLLING SUB-PIXEL 1/8,1/16,1/32,1/64, 1/128</v>
      </c>
      <c r="G133" s="2"/>
      <c r="H133" s="14"/>
      <c r="I133" s="14"/>
      <c r="J133" s="14"/>
    </row>
    <row r="134" spans="1:10">
      <c r="A134" s="22">
        <f t="shared" si="7"/>
        <v>126</v>
      </c>
      <c r="B134" s="10">
        <f t="shared" si="21"/>
        <v>205</v>
      </c>
      <c r="C134" s="24" t="str">
        <f t="shared" si="8"/>
        <v>00CD</v>
      </c>
      <c r="D134" s="2" t="str">
        <f t="shared" ref="D134:D136" si="24">D133</f>
        <v>B0</v>
      </c>
      <c r="E134" s="2" t="s">
        <v>31</v>
      </c>
      <c r="F134" s="20" t="str">
        <f t="shared" ref="F134:F136" si="25">F133</f>
        <v>VERTICAL SCROLLING SUB-PIXEL 1/8,1/16,1/32,1/64, 1/128</v>
      </c>
      <c r="G134" s="2"/>
      <c r="H134" s="14"/>
      <c r="I134" s="14"/>
      <c r="J134" s="14"/>
    </row>
    <row r="135" spans="1:10">
      <c r="A135" s="22">
        <f t="shared" si="7"/>
        <v>127</v>
      </c>
      <c r="B135" s="10">
        <f t="shared" si="21"/>
        <v>206</v>
      </c>
      <c r="C135" s="24" t="str">
        <f t="shared" si="8"/>
        <v>00CE</v>
      </c>
      <c r="D135" s="2" t="str">
        <f t="shared" si="24"/>
        <v>B0</v>
      </c>
      <c r="E135" s="2" t="s">
        <v>32</v>
      </c>
      <c r="F135" s="20" t="str">
        <f t="shared" si="25"/>
        <v>VERTICAL SCROLLING SUB-PIXEL 1/8,1/16,1/32,1/64, 1/128</v>
      </c>
      <c r="G135" s="2"/>
      <c r="H135" s="14"/>
      <c r="I135" s="14"/>
      <c r="J135" s="14"/>
    </row>
    <row r="136" spans="1:10">
      <c r="A136" s="22">
        <f t="shared" si="7"/>
        <v>128</v>
      </c>
      <c r="B136" s="10">
        <f t="shared" si="21"/>
        <v>207</v>
      </c>
      <c r="C136" s="24" t="str">
        <f t="shared" si="8"/>
        <v>00CF</v>
      </c>
      <c r="D136" s="2" t="str">
        <f t="shared" si="24"/>
        <v>B0</v>
      </c>
      <c r="E136" s="2" t="s">
        <v>33</v>
      </c>
      <c r="F136" s="20" t="str">
        <f t="shared" si="25"/>
        <v>VERTICAL SCROLLING SUB-PIXEL 1/8,1/16,1/32,1/64, 1/128</v>
      </c>
      <c r="G136" s="2"/>
      <c r="H136" s="14"/>
      <c r="I136" s="14"/>
      <c r="J136" s="14"/>
    </row>
    <row r="137" spans="1:10">
      <c r="A137" s="22">
        <f t="shared" si="7"/>
        <v>129</v>
      </c>
      <c r="B137" s="10">
        <f t="shared" si="21"/>
        <v>208</v>
      </c>
      <c r="C137" s="24" t="str">
        <f t="shared" si="8"/>
        <v>00D0</v>
      </c>
      <c r="D137" s="2" t="s">
        <v>19</v>
      </c>
      <c r="E137" s="2" t="s">
        <v>118</v>
      </c>
      <c r="F137" s="20" t="s">
        <v>139</v>
      </c>
      <c r="G137" s="2"/>
      <c r="H137" s="14"/>
      <c r="I137" s="14"/>
      <c r="J137" s="14"/>
    </row>
    <row r="138" spans="1:10">
      <c r="A138" s="22">
        <f t="shared" ref="A138:A201" si="26">A137+1</f>
        <v>130</v>
      </c>
      <c r="B138" s="10">
        <f t="shared" si="21"/>
        <v>209</v>
      </c>
      <c r="C138" s="24" t="str">
        <f t="shared" ref="C138:C184" si="27">DEC2HEX(B138,4)</f>
        <v>00D1</v>
      </c>
      <c r="D138" s="2" t="str">
        <f>D137</f>
        <v>B1</v>
      </c>
      <c r="E138" s="2" t="s">
        <v>119</v>
      </c>
      <c r="F138" s="20" t="str">
        <f>F137</f>
        <v>INTERLACE C4/C9 COUNTERS (CRTC 1, 3 , 4)</v>
      </c>
      <c r="G138" s="2"/>
      <c r="H138" s="14"/>
      <c r="I138" s="14"/>
      <c r="J138" s="14"/>
    </row>
    <row r="139" spans="1:10">
      <c r="A139" s="22">
        <f t="shared" si="26"/>
        <v>131</v>
      </c>
      <c r="B139" s="10">
        <f t="shared" si="21"/>
        <v>210</v>
      </c>
      <c r="C139" s="24" t="str">
        <f t="shared" si="27"/>
        <v>00D2</v>
      </c>
      <c r="D139" s="2" t="str">
        <f t="shared" ref="D139:D202" si="28">D138</f>
        <v>B1</v>
      </c>
      <c r="E139" s="2" t="s">
        <v>120</v>
      </c>
      <c r="F139" s="20" t="str">
        <f t="shared" ref="F139:F157" si="29">F138</f>
        <v>INTERLACE C4/C9 COUNTERS (CRTC 1, 3 , 4)</v>
      </c>
      <c r="G139" s="2"/>
      <c r="H139" s="14"/>
      <c r="I139" s="14"/>
      <c r="J139" s="14"/>
    </row>
    <row r="140" spans="1:10">
      <c r="A140" s="22">
        <f t="shared" si="26"/>
        <v>132</v>
      </c>
      <c r="B140" s="10">
        <f t="shared" si="21"/>
        <v>211</v>
      </c>
      <c r="C140" s="24" t="str">
        <f t="shared" si="27"/>
        <v>00D3</v>
      </c>
      <c r="D140" s="2" t="str">
        <f t="shared" si="28"/>
        <v>B1</v>
      </c>
      <c r="E140" s="2" t="s">
        <v>122</v>
      </c>
      <c r="F140" s="20" t="str">
        <f t="shared" si="29"/>
        <v>INTERLACE C4/C9 COUNTERS (CRTC 1, 3 , 4)</v>
      </c>
      <c r="G140" s="2"/>
      <c r="H140" s="14"/>
      <c r="I140" s="14"/>
      <c r="J140" s="14"/>
    </row>
    <row r="141" spans="1:10">
      <c r="A141" s="22">
        <f t="shared" si="26"/>
        <v>133</v>
      </c>
      <c r="B141" s="10">
        <f t="shared" si="21"/>
        <v>212</v>
      </c>
      <c r="C141" s="24" t="str">
        <f t="shared" si="27"/>
        <v>00D4</v>
      </c>
      <c r="D141" s="2" t="str">
        <f t="shared" si="28"/>
        <v>B1</v>
      </c>
      <c r="E141" s="2" t="s">
        <v>121</v>
      </c>
      <c r="F141" s="20" t="str">
        <f t="shared" si="29"/>
        <v>INTERLACE C4/C9 COUNTERS (CRTC 1, 3 , 4)</v>
      </c>
      <c r="G141" s="2"/>
      <c r="H141" s="14"/>
      <c r="I141" s="14"/>
      <c r="J141" s="14"/>
    </row>
    <row r="142" spans="1:10">
      <c r="A142" s="22">
        <f t="shared" si="26"/>
        <v>134</v>
      </c>
      <c r="B142" s="10">
        <f t="shared" si="21"/>
        <v>213</v>
      </c>
      <c r="C142" s="24" t="str">
        <f t="shared" si="27"/>
        <v>00D5</v>
      </c>
      <c r="D142" s="2" t="str">
        <f t="shared" si="28"/>
        <v>B1</v>
      </c>
      <c r="E142" s="2" t="s">
        <v>123</v>
      </c>
      <c r="F142" s="20" t="str">
        <f t="shared" si="29"/>
        <v>INTERLACE C4/C9 COUNTERS (CRTC 1, 3 , 4)</v>
      </c>
      <c r="G142" s="2"/>
      <c r="H142" s="14"/>
      <c r="I142" s="14"/>
      <c r="J142" s="14"/>
    </row>
    <row r="143" spans="1:10">
      <c r="A143" s="22">
        <f t="shared" si="26"/>
        <v>135</v>
      </c>
      <c r="B143" s="10">
        <f t="shared" si="21"/>
        <v>214</v>
      </c>
      <c r="C143" s="24" t="str">
        <f t="shared" si="27"/>
        <v>00D6</v>
      </c>
      <c r="D143" s="2" t="str">
        <f t="shared" si="28"/>
        <v>B1</v>
      </c>
      <c r="E143" s="2" t="s">
        <v>124</v>
      </c>
      <c r="F143" s="20" t="str">
        <f t="shared" si="29"/>
        <v>INTERLACE C4/C9 COUNTERS (CRTC 1, 3 , 4)</v>
      </c>
      <c r="G143" s="2"/>
      <c r="H143" s="14"/>
      <c r="I143" s="14"/>
      <c r="J143" s="14"/>
    </row>
    <row r="144" spans="1:10">
      <c r="A144" s="22">
        <f t="shared" si="26"/>
        <v>136</v>
      </c>
      <c r="B144" s="10">
        <f t="shared" si="21"/>
        <v>215</v>
      </c>
      <c r="C144" s="24" t="str">
        <f t="shared" si="27"/>
        <v>00D7</v>
      </c>
      <c r="D144" s="2" t="str">
        <f t="shared" si="28"/>
        <v>B1</v>
      </c>
      <c r="E144" s="2" t="s">
        <v>125</v>
      </c>
      <c r="F144" s="20" t="str">
        <f t="shared" si="29"/>
        <v>INTERLACE C4/C9 COUNTERS (CRTC 1, 3 , 4)</v>
      </c>
      <c r="G144" s="2"/>
      <c r="H144" s="14"/>
      <c r="I144" s="14"/>
      <c r="J144" s="14"/>
    </row>
    <row r="145" spans="1:10">
      <c r="A145" s="22">
        <f t="shared" si="26"/>
        <v>137</v>
      </c>
      <c r="B145" s="10">
        <f t="shared" si="21"/>
        <v>216</v>
      </c>
      <c r="C145" s="24" t="str">
        <f t="shared" si="27"/>
        <v>00D8</v>
      </c>
      <c r="D145" s="2" t="str">
        <f t="shared" si="28"/>
        <v>B1</v>
      </c>
      <c r="E145" s="2" t="s">
        <v>126</v>
      </c>
      <c r="F145" s="20" t="str">
        <f t="shared" si="29"/>
        <v>INTERLACE C4/C9 COUNTERS (CRTC 1, 3 , 4)</v>
      </c>
      <c r="G145" s="2"/>
      <c r="H145" s="14"/>
      <c r="I145" s="14"/>
      <c r="J145" s="14"/>
    </row>
    <row r="146" spans="1:10">
      <c r="A146" s="22">
        <f t="shared" si="26"/>
        <v>138</v>
      </c>
      <c r="B146" s="10">
        <f t="shared" si="21"/>
        <v>217</v>
      </c>
      <c r="C146" s="24" t="str">
        <f t="shared" si="27"/>
        <v>00D9</v>
      </c>
      <c r="D146" s="2" t="str">
        <f t="shared" si="28"/>
        <v>B1</v>
      </c>
      <c r="E146" s="2" t="s">
        <v>127</v>
      </c>
      <c r="F146" s="20" t="str">
        <f t="shared" si="29"/>
        <v>INTERLACE C4/C9 COUNTERS (CRTC 1, 3 , 4)</v>
      </c>
      <c r="G146" s="2"/>
      <c r="H146" s="14"/>
      <c r="I146" s="14"/>
      <c r="J146" s="14"/>
    </row>
    <row r="147" spans="1:10">
      <c r="A147" s="22">
        <f t="shared" si="26"/>
        <v>139</v>
      </c>
      <c r="B147" s="10">
        <f t="shared" si="21"/>
        <v>218</v>
      </c>
      <c r="C147" s="24" t="str">
        <f t="shared" si="27"/>
        <v>00DA</v>
      </c>
      <c r="D147" s="2" t="str">
        <f t="shared" si="28"/>
        <v>B1</v>
      </c>
      <c r="E147" s="2" t="s">
        <v>128</v>
      </c>
      <c r="F147" s="20" t="str">
        <f t="shared" si="29"/>
        <v>INTERLACE C4/C9 COUNTERS (CRTC 1, 3 , 4)</v>
      </c>
      <c r="G147" s="2"/>
      <c r="H147" s="14"/>
      <c r="I147" s="14"/>
      <c r="J147" s="14"/>
    </row>
    <row r="148" spans="1:10">
      <c r="A148" s="22">
        <f t="shared" si="26"/>
        <v>140</v>
      </c>
      <c r="B148" s="10">
        <f t="shared" si="21"/>
        <v>219</v>
      </c>
      <c r="C148" s="24" t="str">
        <f t="shared" si="27"/>
        <v>00DB</v>
      </c>
      <c r="D148" s="2" t="str">
        <f t="shared" si="28"/>
        <v>B1</v>
      </c>
      <c r="E148" s="2" t="s">
        <v>129</v>
      </c>
      <c r="F148" s="20" t="str">
        <f t="shared" si="29"/>
        <v>INTERLACE C4/C9 COUNTERS (CRTC 1, 3 , 4)</v>
      </c>
      <c r="G148" s="2"/>
      <c r="H148" s="14"/>
      <c r="I148" s="14"/>
      <c r="J148" s="14"/>
    </row>
    <row r="149" spans="1:10">
      <c r="A149" s="22">
        <f t="shared" si="26"/>
        <v>141</v>
      </c>
      <c r="B149" s="10">
        <f t="shared" si="21"/>
        <v>220</v>
      </c>
      <c r="C149" s="24" t="str">
        <f t="shared" si="27"/>
        <v>00DC</v>
      </c>
      <c r="D149" s="2" t="str">
        <f t="shared" si="28"/>
        <v>B1</v>
      </c>
      <c r="E149" s="2" t="s">
        <v>130</v>
      </c>
      <c r="F149" s="20" t="str">
        <f t="shared" si="29"/>
        <v>INTERLACE C4/C9 COUNTERS (CRTC 1, 3 , 4)</v>
      </c>
      <c r="G149" s="2"/>
      <c r="H149" s="14"/>
      <c r="I149" s="14"/>
      <c r="J149" s="14"/>
    </row>
    <row r="150" spans="1:10">
      <c r="A150" s="22">
        <f t="shared" si="26"/>
        <v>142</v>
      </c>
      <c r="B150" s="10">
        <f t="shared" si="21"/>
        <v>221</v>
      </c>
      <c r="C150" s="24" t="str">
        <f t="shared" si="27"/>
        <v>00DD</v>
      </c>
      <c r="D150" s="2" t="str">
        <f t="shared" si="28"/>
        <v>B1</v>
      </c>
      <c r="E150" s="2" t="s">
        <v>131</v>
      </c>
      <c r="F150" s="20" t="str">
        <f t="shared" si="29"/>
        <v>INTERLACE C4/C9 COUNTERS (CRTC 1, 3 , 4)</v>
      </c>
      <c r="G150" s="2"/>
      <c r="H150" s="14"/>
      <c r="I150" s="14"/>
      <c r="J150" s="14"/>
    </row>
    <row r="151" spans="1:10">
      <c r="A151" s="22">
        <f t="shared" si="26"/>
        <v>143</v>
      </c>
      <c r="B151" s="10">
        <f t="shared" si="21"/>
        <v>222</v>
      </c>
      <c r="C151" s="24" t="str">
        <f t="shared" si="27"/>
        <v>00DE</v>
      </c>
      <c r="D151" s="2" t="str">
        <f t="shared" si="28"/>
        <v>B1</v>
      </c>
      <c r="E151" s="2" t="s">
        <v>132</v>
      </c>
      <c r="F151" s="20" t="str">
        <f t="shared" si="29"/>
        <v>INTERLACE C4/C9 COUNTERS (CRTC 1, 3 , 4)</v>
      </c>
      <c r="G151" s="2"/>
      <c r="H151" s="14"/>
      <c r="I151" s="14"/>
      <c r="J151" s="14"/>
    </row>
    <row r="152" spans="1:10">
      <c r="A152" s="22">
        <f t="shared" si="26"/>
        <v>144</v>
      </c>
      <c r="B152" s="10">
        <f t="shared" si="21"/>
        <v>223</v>
      </c>
      <c r="C152" s="24" t="str">
        <f t="shared" si="27"/>
        <v>00DF</v>
      </c>
      <c r="D152" s="2" t="str">
        <f t="shared" si="28"/>
        <v>B1</v>
      </c>
      <c r="E152" s="2" t="s">
        <v>133</v>
      </c>
      <c r="F152" s="20" t="str">
        <f t="shared" si="29"/>
        <v>INTERLACE C4/C9 COUNTERS (CRTC 1, 3 , 4)</v>
      </c>
      <c r="G152" s="2"/>
      <c r="H152" s="14"/>
      <c r="I152" s="14"/>
      <c r="J152" s="14"/>
    </row>
    <row r="153" spans="1:10">
      <c r="A153" s="22">
        <f t="shared" si="26"/>
        <v>145</v>
      </c>
      <c r="B153" s="10">
        <f t="shared" si="21"/>
        <v>224</v>
      </c>
      <c r="C153" s="24" t="str">
        <f t="shared" si="27"/>
        <v>00E0</v>
      </c>
      <c r="D153" s="2" t="str">
        <f t="shared" si="28"/>
        <v>B1</v>
      </c>
      <c r="E153" s="2" t="s">
        <v>134</v>
      </c>
      <c r="F153" s="20" t="str">
        <f t="shared" si="29"/>
        <v>INTERLACE C4/C9 COUNTERS (CRTC 1, 3 , 4)</v>
      </c>
      <c r="G153" s="2"/>
      <c r="H153" s="14"/>
      <c r="I153" s="14"/>
      <c r="J153" s="14"/>
    </row>
    <row r="154" spans="1:10">
      <c r="A154" s="22">
        <f t="shared" si="26"/>
        <v>146</v>
      </c>
      <c r="B154" s="10">
        <f t="shared" si="21"/>
        <v>225</v>
      </c>
      <c r="C154" s="24" t="str">
        <f t="shared" si="27"/>
        <v>00E1</v>
      </c>
      <c r="D154" s="2" t="str">
        <f t="shared" si="28"/>
        <v>B1</v>
      </c>
      <c r="E154" s="2" t="s">
        <v>135</v>
      </c>
      <c r="F154" s="20" t="str">
        <f t="shared" si="29"/>
        <v>INTERLACE C4/C9 COUNTERS (CRTC 1, 3 , 4)</v>
      </c>
      <c r="G154" s="2"/>
      <c r="H154" s="14"/>
      <c r="I154" s="14"/>
      <c r="J154" s="14"/>
    </row>
    <row r="155" spans="1:10">
      <c r="A155" s="22">
        <f t="shared" si="26"/>
        <v>147</v>
      </c>
      <c r="B155" s="10">
        <f t="shared" si="21"/>
        <v>226</v>
      </c>
      <c r="C155" s="24" t="str">
        <f t="shared" si="27"/>
        <v>00E2</v>
      </c>
      <c r="D155" s="2" t="str">
        <f t="shared" si="28"/>
        <v>B1</v>
      </c>
      <c r="E155" s="2" t="s">
        <v>416</v>
      </c>
      <c r="F155" s="20" t="str">
        <f t="shared" si="29"/>
        <v>INTERLACE C4/C9 COUNTERS (CRTC 1, 3 , 4)</v>
      </c>
      <c r="G155" s="2"/>
      <c r="H155" s="14"/>
      <c r="I155" s="14"/>
      <c r="J155" s="14"/>
    </row>
    <row r="156" spans="1:10">
      <c r="A156" s="22">
        <f t="shared" si="26"/>
        <v>148</v>
      </c>
      <c r="B156" s="10">
        <f t="shared" si="21"/>
        <v>227</v>
      </c>
      <c r="C156" s="24" t="str">
        <f t="shared" si="27"/>
        <v>00E3</v>
      </c>
      <c r="D156" s="2" t="str">
        <f t="shared" si="28"/>
        <v>B1</v>
      </c>
      <c r="E156" s="2" t="s">
        <v>417</v>
      </c>
      <c r="F156" s="20" t="str">
        <f t="shared" si="29"/>
        <v>INTERLACE C4/C9 COUNTERS (CRTC 1, 3 , 4)</v>
      </c>
      <c r="G156" s="2"/>
      <c r="H156" s="14"/>
      <c r="I156" s="14"/>
      <c r="J156" s="14"/>
    </row>
    <row r="157" spans="1:10">
      <c r="A157" s="22">
        <f t="shared" si="26"/>
        <v>149</v>
      </c>
      <c r="B157" s="10">
        <f t="shared" si="21"/>
        <v>228</v>
      </c>
      <c r="C157" s="24" t="str">
        <f t="shared" si="27"/>
        <v>00E4</v>
      </c>
      <c r="D157" s="2" t="str">
        <f t="shared" si="28"/>
        <v>B1</v>
      </c>
      <c r="E157" s="2" t="s">
        <v>136</v>
      </c>
      <c r="F157" s="20" t="str">
        <f t="shared" si="29"/>
        <v>INTERLACE C4/C9 COUNTERS (CRTC 1, 3 , 4)</v>
      </c>
      <c r="G157" s="2"/>
      <c r="H157" s="14"/>
      <c r="I157" s="14"/>
      <c r="J157" s="14"/>
    </row>
    <row r="158" spans="1:10">
      <c r="A158" s="22">
        <f t="shared" si="26"/>
        <v>150</v>
      </c>
      <c r="B158" s="10">
        <f t="shared" si="21"/>
        <v>229</v>
      </c>
      <c r="C158" s="24" t="str">
        <f t="shared" si="27"/>
        <v>00E5</v>
      </c>
      <c r="D158" s="2" t="str">
        <f t="shared" si="28"/>
        <v>B1</v>
      </c>
      <c r="E158" s="2" t="s">
        <v>140</v>
      </c>
      <c r="F158" s="20" t="s">
        <v>139</v>
      </c>
      <c r="G158" s="2"/>
      <c r="H158" s="14"/>
      <c r="I158" s="14"/>
      <c r="J158" s="14"/>
    </row>
    <row r="159" spans="1:10">
      <c r="A159" s="22">
        <f t="shared" si="26"/>
        <v>151</v>
      </c>
      <c r="B159" s="10">
        <f t="shared" si="21"/>
        <v>230</v>
      </c>
      <c r="C159" s="24" t="str">
        <f t="shared" si="27"/>
        <v>00E6</v>
      </c>
      <c r="D159" s="2" t="str">
        <f t="shared" si="28"/>
        <v>B1</v>
      </c>
      <c r="E159" s="2" t="s">
        <v>141</v>
      </c>
      <c r="F159" s="20" t="str">
        <f>F158</f>
        <v>INTERLACE C4/C9 COUNTERS (CRTC 1, 3 , 4)</v>
      </c>
      <c r="G159" s="2"/>
      <c r="H159" s="14"/>
      <c r="I159" s="14"/>
      <c r="J159" s="14"/>
    </row>
    <row r="160" spans="1:10">
      <c r="A160" s="22">
        <f t="shared" si="26"/>
        <v>152</v>
      </c>
      <c r="B160" s="10">
        <f t="shared" si="21"/>
        <v>231</v>
      </c>
      <c r="C160" s="24" t="str">
        <f t="shared" si="27"/>
        <v>00E7</v>
      </c>
      <c r="D160" s="2" t="str">
        <f t="shared" si="28"/>
        <v>B1</v>
      </c>
      <c r="E160" s="2" t="s">
        <v>142</v>
      </c>
      <c r="F160" s="20" t="str">
        <f t="shared" ref="F160:F178" si="30">F159</f>
        <v>INTERLACE C4/C9 COUNTERS (CRTC 1, 3 , 4)</v>
      </c>
      <c r="G160" s="2"/>
      <c r="H160" s="14"/>
      <c r="I160" s="14"/>
      <c r="J160" s="14"/>
    </row>
    <row r="161" spans="1:10">
      <c r="A161" s="22">
        <f t="shared" si="26"/>
        <v>153</v>
      </c>
      <c r="B161" s="10">
        <f t="shared" si="21"/>
        <v>232</v>
      </c>
      <c r="C161" s="24" t="str">
        <f t="shared" si="27"/>
        <v>00E8</v>
      </c>
      <c r="D161" s="2" t="str">
        <f t="shared" si="28"/>
        <v>B1</v>
      </c>
      <c r="E161" s="2" t="s">
        <v>143</v>
      </c>
      <c r="F161" s="20" t="str">
        <f t="shared" si="30"/>
        <v>INTERLACE C4/C9 COUNTERS (CRTC 1, 3 , 4)</v>
      </c>
      <c r="G161" s="2"/>
      <c r="H161" s="14"/>
      <c r="I161" s="14"/>
      <c r="J161" s="14"/>
    </row>
    <row r="162" spans="1:10">
      <c r="A162" s="22">
        <f t="shared" si="26"/>
        <v>154</v>
      </c>
      <c r="B162" s="10">
        <f t="shared" si="21"/>
        <v>233</v>
      </c>
      <c r="C162" s="24" t="str">
        <f t="shared" si="27"/>
        <v>00E9</v>
      </c>
      <c r="D162" s="2" t="str">
        <f t="shared" si="28"/>
        <v>B1</v>
      </c>
      <c r="E162" s="2" t="s">
        <v>144</v>
      </c>
      <c r="F162" s="20" t="str">
        <f t="shared" si="30"/>
        <v>INTERLACE C4/C9 COUNTERS (CRTC 1, 3 , 4)</v>
      </c>
      <c r="G162" s="2"/>
      <c r="H162" s="14"/>
      <c r="I162" s="14"/>
      <c r="J162" s="14"/>
    </row>
    <row r="163" spans="1:10">
      <c r="A163" s="22">
        <f t="shared" si="26"/>
        <v>155</v>
      </c>
      <c r="B163" s="10">
        <f t="shared" si="21"/>
        <v>234</v>
      </c>
      <c r="C163" s="24" t="str">
        <f t="shared" si="27"/>
        <v>00EA</v>
      </c>
      <c r="D163" s="2" t="str">
        <f t="shared" si="28"/>
        <v>B1</v>
      </c>
      <c r="E163" s="2" t="s">
        <v>145</v>
      </c>
      <c r="F163" s="20" t="str">
        <f t="shared" si="30"/>
        <v>INTERLACE C4/C9 COUNTERS (CRTC 1, 3 , 4)</v>
      </c>
      <c r="G163" s="2"/>
      <c r="H163" s="14"/>
      <c r="I163" s="14"/>
      <c r="J163" s="14"/>
    </row>
    <row r="164" spans="1:10">
      <c r="A164" s="22">
        <f t="shared" si="26"/>
        <v>156</v>
      </c>
      <c r="B164" s="10">
        <f t="shared" si="21"/>
        <v>235</v>
      </c>
      <c r="C164" s="24" t="str">
        <f t="shared" si="27"/>
        <v>00EB</v>
      </c>
      <c r="D164" s="2" t="str">
        <f t="shared" si="28"/>
        <v>B1</v>
      </c>
      <c r="E164" s="21" t="s">
        <v>146</v>
      </c>
      <c r="F164" s="20" t="str">
        <f t="shared" si="30"/>
        <v>INTERLACE C4/C9 COUNTERS (CRTC 1, 3 , 4)</v>
      </c>
      <c r="G164" s="2"/>
      <c r="H164" s="14"/>
      <c r="I164" s="14"/>
      <c r="J164" s="14"/>
    </row>
    <row r="165" spans="1:10">
      <c r="A165" s="22">
        <f t="shared" si="26"/>
        <v>157</v>
      </c>
      <c r="B165" s="10">
        <f t="shared" si="21"/>
        <v>236</v>
      </c>
      <c r="C165" s="24" t="str">
        <f t="shared" si="27"/>
        <v>00EC</v>
      </c>
      <c r="D165" s="2" t="str">
        <f t="shared" si="28"/>
        <v>B1</v>
      </c>
      <c r="E165" s="21" t="s">
        <v>147</v>
      </c>
      <c r="F165" s="20" t="str">
        <f t="shared" si="30"/>
        <v>INTERLACE C4/C9 COUNTERS (CRTC 1, 3 , 4)</v>
      </c>
      <c r="G165" s="2"/>
      <c r="H165" s="14"/>
      <c r="I165" s="14"/>
      <c r="J165" s="14"/>
    </row>
    <row r="166" spans="1:10">
      <c r="A166" s="22">
        <f t="shared" si="26"/>
        <v>158</v>
      </c>
      <c r="B166" s="10">
        <f t="shared" si="21"/>
        <v>237</v>
      </c>
      <c r="C166" s="24" t="str">
        <f t="shared" si="27"/>
        <v>00ED</v>
      </c>
      <c r="D166" s="2" t="str">
        <f t="shared" si="28"/>
        <v>B1</v>
      </c>
      <c r="E166" s="21" t="s">
        <v>148</v>
      </c>
      <c r="F166" s="20" t="str">
        <f t="shared" si="30"/>
        <v>INTERLACE C4/C9 COUNTERS (CRTC 1, 3 , 4)</v>
      </c>
      <c r="G166" s="2"/>
      <c r="H166" s="14"/>
      <c r="I166" s="14"/>
      <c r="J166" s="14"/>
    </row>
    <row r="167" spans="1:10">
      <c r="A167" s="22">
        <f t="shared" si="26"/>
        <v>159</v>
      </c>
      <c r="B167" s="10">
        <f t="shared" si="21"/>
        <v>238</v>
      </c>
      <c r="C167" s="24" t="str">
        <f t="shared" si="27"/>
        <v>00EE</v>
      </c>
      <c r="D167" s="2" t="str">
        <f t="shared" si="28"/>
        <v>B1</v>
      </c>
      <c r="E167" s="21" t="s">
        <v>149</v>
      </c>
      <c r="F167" s="20" t="str">
        <f t="shared" si="30"/>
        <v>INTERLACE C4/C9 COUNTERS (CRTC 1, 3 , 4)</v>
      </c>
      <c r="G167" s="2"/>
      <c r="H167" s="14"/>
      <c r="I167" s="14"/>
      <c r="J167" s="14"/>
    </row>
    <row r="168" spans="1:10">
      <c r="A168" s="22">
        <f t="shared" si="26"/>
        <v>160</v>
      </c>
      <c r="B168" s="10">
        <f t="shared" si="21"/>
        <v>239</v>
      </c>
      <c r="C168" s="24" t="str">
        <f t="shared" si="27"/>
        <v>00EF</v>
      </c>
      <c r="D168" s="2" t="str">
        <f t="shared" si="28"/>
        <v>B1</v>
      </c>
      <c r="E168" s="21" t="s">
        <v>150</v>
      </c>
      <c r="F168" s="20" t="str">
        <f t="shared" si="30"/>
        <v>INTERLACE C4/C9 COUNTERS (CRTC 1, 3 , 4)</v>
      </c>
      <c r="G168" s="2"/>
      <c r="H168" s="14"/>
      <c r="I168" s="14"/>
      <c r="J168" s="14"/>
    </row>
    <row r="169" spans="1:10">
      <c r="A169" s="22">
        <f t="shared" si="26"/>
        <v>161</v>
      </c>
      <c r="B169" s="10">
        <f t="shared" si="21"/>
        <v>240</v>
      </c>
      <c r="C169" s="24" t="str">
        <f t="shared" si="27"/>
        <v>00F0</v>
      </c>
      <c r="D169" s="2" t="str">
        <f t="shared" si="28"/>
        <v>B1</v>
      </c>
      <c r="E169" s="21" t="s">
        <v>151</v>
      </c>
      <c r="F169" s="20" t="str">
        <f t="shared" si="30"/>
        <v>INTERLACE C4/C9 COUNTERS (CRTC 1, 3 , 4)</v>
      </c>
      <c r="G169" s="2"/>
      <c r="H169" s="14"/>
      <c r="I169" s="14"/>
      <c r="J169" s="14"/>
    </row>
    <row r="170" spans="1:10">
      <c r="A170" s="22">
        <f t="shared" si="26"/>
        <v>162</v>
      </c>
      <c r="B170" s="10">
        <f t="shared" si="21"/>
        <v>241</v>
      </c>
      <c r="C170" s="24" t="str">
        <f t="shared" si="27"/>
        <v>00F1</v>
      </c>
      <c r="D170" s="2" t="str">
        <f t="shared" si="28"/>
        <v>B1</v>
      </c>
      <c r="E170" s="21" t="s">
        <v>152</v>
      </c>
      <c r="F170" s="20" t="str">
        <f t="shared" si="30"/>
        <v>INTERLACE C4/C9 COUNTERS (CRTC 1, 3 , 4)</v>
      </c>
      <c r="G170" s="2"/>
      <c r="H170" s="14"/>
      <c r="I170" s="14"/>
      <c r="J170" s="14"/>
    </row>
    <row r="171" spans="1:10">
      <c r="A171" s="22">
        <f t="shared" si="26"/>
        <v>163</v>
      </c>
      <c r="B171" s="10">
        <f t="shared" si="21"/>
        <v>242</v>
      </c>
      <c r="C171" s="24" t="str">
        <f t="shared" si="27"/>
        <v>00F2</v>
      </c>
      <c r="D171" s="2" t="str">
        <f t="shared" si="28"/>
        <v>B1</v>
      </c>
      <c r="E171" s="21" t="s">
        <v>153</v>
      </c>
      <c r="F171" s="20" t="str">
        <f t="shared" si="30"/>
        <v>INTERLACE C4/C9 COUNTERS (CRTC 1, 3 , 4)</v>
      </c>
      <c r="G171" s="2"/>
      <c r="H171" s="14"/>
      <c r="I171" s="14"/>
      <c r="J171" s="14"/>
    </row>
    <row r="172" spans="1:10">
      <c r="A172" s="22">
        <f t="shared" si="26"/>
        <v>164</v>
      </c>
      <c r="B172" s="10">
        <f t="shared" si="21"/>
        <v>243</v>
      </c>
      <c r="C172" s="24" t="str">
        <f t="shared" si="27"/>
        <v>00F3</v>
      </c>
      <c r="D172" s="2" t="str">
        <f t="shared" si="28"/>
        <v>B1</v>
      </c>
      <c r="E172" s="21" t="s">
        <v>154</v>
      </c>
      <c r="F172" s="20" t="str">
        <f t="shared" si="30"/>
        <v>INTERLACE C4/C9 COUNTERS (CRTC 1, 3 , 4)</v>
      </c>
      <c r="G172" s="2"/>
      <c r="H172" s="14"/>
      <c r="I172" s="14"/>
      <c r="J172" s="14"/>
    </row>
    <row r="173" spans="1:10">
      <c r="A173" s="22">
        <f t="shared" si="26"/>
        <v>165</v>
      </c>
      <c r="B173" s="10">
        <f t="shared" si="21"/>
        <v>244</v>
      </c>
      <c r="C173" s="24" t="str">
        <f t="shared" si="27"/>
        <v>00F4</v>
      </c>
      <c r="D173" s="2" t="str">
        <f t="shared" si="28"/>
        <v>B1</v>
      </c>
      <c r="E173" s="21" t="s">
        <v>155</v>
      </c>
      <c r="F173" s="20" t="str">
        <f t="shared" si="30"/>
        <v>INTERLACE C4/C9 COUNTERS (CRTC 1, 3 , 4)</v>
      </c>
      <c r="G173" s="2"/>
      <c r="H173" s="14"/>
      <c r="I173" s="14"/>
      <c r="J173" s="14"/>
    </row>
    <row r="174" spans="1:10">
      <c r="A174" s="22">
        <f t="shared" si="26"/>
        <v>166</v>
      </c>
      <c r="B174" s="10">
        <f t="shared" si="21"/>
        <v>245</v>
      </c>
      <c r="C174" s="24" t="str">
        <f t="shared" si="27"/>
        <v>00F5</v>
      </c>
      <c r="D174" s="2" t="str">
        <f t="shared" si="28"/>
        <v>B1</v>
      </c>
      <c r="E174" s="21" t="s">
        <v>156</v>
      </c>
      <c r="F174" s="20" t="str">
        <f t="shared" si="30"/>
        <v>INTERLACE C4/C9 COUNTERS (CRTC 1, 3 , 4)</v>
      </c>
      <c r="G174" s="2"/>
      <c r="H174" s="14"/>
      <c r="I174" s="14"/>
      <c r="J174" s="14"/>
    </row>
    <row r="175" spans="1:10">
      <c r="A175" s="22">
        <f t="shared" si="26"/>
        <v>167</v>
      </c>
      <c r="B175" s="10">
        <f t="shared" si="21"/>
        <v>246</v>
      </c>
      <c r="C175" s="24" t="str">
        <f t="shared" si="27"/>
        <v>00F6</v>
      </c>
      <c r="D175" s="2" t="str">
        <f t="shared" si="28"/>
        <v>B1</v>
      </c>
      <c r="E175" s="21" t="s">
        <v>157</v>
      </c>
      <c r="F175" s="20" t="str">
        <f t="shared" si="30"/>
        <v>INTERLACE C4/C9 COUNTERS (CRTC 1, 3 , 4)</v>
      </c>
      <c r="G175" s="2"/>
      <c r="H175" s="14"/>
      <c r="I175" s="14"/>
      <c r="J175" s="14"/>
    </row>
    <row r="176" spans="1:10">
      <c r="A176" s="22">
        <f t="shared" si="26"/>
        <v>168</v>
      </c>
      <c r="B176" s="10">
        <f t="shared" si="21"/>
        <v>247</v>
      </c>
      <c r="C176" s="24" t="str">
        <f t="shared" si="27"/>
        <v>00F7</v>
      </c>
      <c r="D176" s="2" t="str">
        <f t="shared" si="28"/>
        <v>B1</v>
      </c>
      <c r="E176" s="21" t="s">
        <v>418</v>
      </c>
      <c r="F176" s="20" t="str">
        <f t="shared" si="30"/>
        <v>INTERLACE C4/C9 COUNTERS (CRTC 1, 3 , 4)</v>
      </c>
      <c r="G176" s="2"/>
      <c r="H176" s="14"/>
      <c r="I176" s="14"/>
      <c r="J176" s="14"/>
    </row>
    <row r="177" spans="1:11">
      <c r="A177" s="22">
        <f t="shared" si="26"/>
        <v>169</v>
      </c>
      <c r="B177" s="10">
        <f t="shared" si="21"/>
        <v>248</v>
      </c>
      <c r="C177" s="24" t="str">
        <f t="shared" si="27"/>
        <v>00F8</v>
      </c>
      <c r="D177" s="2" t="str">
        <f t="shared" si="28"/>
        <v>B1</v>
      </c>
      <c r="E177" s="21" t="s">
        <v>419</v>
      </c>
      <c r="F177" s="20" t="str">
        <f t="shared" si="30"/>
        <v>INTERLACE C4/C9 COUNTERS (CRTC 1, 3 , 4)</v>
      </c>
      <c r="G177" s="2"/>
      <c r="H177" s="14"/>
      <c r="I177" s="14"/>
      <c r="J177" s="14"/>
    </row>
    <row r="178" spans="1:11">
      <c r="A178" s="22">
        <f t="shared" si="26"/>
        <v>170</v>
      </c>
      <c r="B178" s="10">
        <f t="shared" si="21"/>
        <v>249</v>
      </c>
      <c r="C178" s="24" t="str">
        <f t="shared" si="27"/>
        <v>00F9</v>
      </c>
      <c r="D178" s="2" t="str">
        <f t="shared" si="28"/>
        <v>B1</v>
      </c>
      <c r="E178" s="21" t="s">
        <v>158</v>
      </c>
      <c r="F178" s="20" t="str">
        <f t="shared" si="30"/>
        <v>INTERLACE C4/C9 COUNTERS (CRTC 1, 3 , 4)</v>
      </c>
      <c r="G178" s="2"/>
      <c r="H178" s="14"/>
      <c r="I178" s="14"/>
      <c r="J178" s="14"/>
    </row>
    <row r="179" spans="1:11">
      <c r="A179" s="22">
        <f t="shared" si="26"/>
        <v>171</v>
      </c>
      <c r="B179" s="10">
        <f t="shared" si="21"/>
        <v>250</v>
      </c>
      <c r="C179" s="24" t="str">
        <f t="shared" si="27"/>
        <v>00FA</v>
      </c>
      <c r="D179" s="2" t="str">
        <f t="shared" si="28"/>
        <v>B1</v>
      </c>
      <c r="E179" s="2" t="s">
        <v>161</v>
      </c>
      <c r="F179" s="20" t="s">
        <v>182</v>
      </c>
      <c r="G179" s="2"/>
      <c r="H179" s="14"/>
      <c r="I179" s="14"/>
      <c r="J179" s="14"/>
    </row>
    <row r="180" spans="1:11">
      <c r="A180" s="22">
        <f t="shared" si="26"/>
        <v>172</v>
      </c>
      <c r="B180" s="10">
        <f t="shared" si="21"/>
        <v>251</v>
      </c>
      <c r="C180" s="24" t="str">
        <f t="shared" si="27"/>
        <v>00FB</v>
      </c>
      <c r="D180" s="2" t="str">
        <f t="shared" si="28"/>
        <v>B1</v>
      </c>
      <c r="E180" s="2" t="s">
        <v>162</v>
      </c>
      <c r="F180" s="20" t="str">
        <f>F179</f>
        <v>INTERLACE C4/C9 COUNTERS (CRTC 0, 2)</v>
      </c>
      <c r="G180" s="2"/>
      <c r="H180" s="14"/>
      <c r="I180" s="14"/>
      <c r="J180" s="14"/>
    </row>
    <row r="181" spans="1:11">
      <c r="A181" s="22">
        <f t="shared" si="26"/>
        <v>173</v>
      </c>
      <c r="B181" s="10">
        <f t="shared" si="21"/>
        <v>252</v>
      </c>
      <c r="C181" s="24" t="str">
        <f t="shared" si="27"/>
        <v>00FC</v>
      </c>
      <c r="D181" s="2" t="str">
        <f t="shared" si="28"/>
        <v>B1</v>
      </c>
      <c r="E181" s="2" t="s">
        <v>163</v>
      </c>
      <c r="F181" s="20" t="str">
        <f t="shared" ref="F181:F199" si="31">F180</f>
        <v>INTERLACE C4/C9 COUNTERS (CRTC 0, 2)</v>
      </c>
      <c r="G181" s="2"/>
      <c r="H181" s="14"/>
      <c r="I181" s="14"/>
      <c r="J181" s="14"/>
    </row>
    <row r="182" spans="1:11">
      <c r="A182" s="22">
        <f t="shared" si="26"/>
        <v>174</v>
      </c>
      <c r="B182" s="10">
        <f t="shared" si="21"/>
        <v>253</v>
      </c>
      <c r="C182" s="24" t="str">
        <f t="shared" si="27"/>
        <v>00FD</v>
      </c>
      <c r="D182" s="2" t="str">
        <f t="shared" si="28"/>
        <v>B1</v>
      </c>
      <c r="E182" s="2" t="s">
        <v>164</v>
      </c>
      <c r="F182" s="20" t="str">
        <f t="shared" si="31"/>
        <v>INTERLACE C4/C9 COUNTERS (CRTC 0, 2)</v>
      </c>
      <c r="G182" s="2"/>
      <c r="H182" s="14"/>
      <c r="I182" s="14"/>
      <c r="J182" s="14"/>
    </row>
    <row r="183" spans="1:11">
      <c r="A183" s="22">
        <f t="shared" si="26"/>
        <v>175</v>
      </c>
      <c r="B183" s="10">
        <v>256</v>
      </c>
      <c r="C183" s="24" t="str">
        <f t="shared" si="27"/>
        <v>0100</v>
      </c>
      <c r="D183" s="2" t="str">
        <f t="shared" si="28"/>
        <v>B1</v>
      </c>
      <c r="E183" s="2" t="s">
        <v>165</v>
      </c>
      <c r="F183" s="20" t="str">
        <f t="shared" si="31"/>
        <v>INTERLACE C4/C9 COUNTERS (CRTC 0, 2)</v>
      </c>
      <c r="G183" s="2"/>
      <c r="H183" s="14"/>
      <c r="I183" s="14"/>
      <c r="J183" s="14"/>
    </row>
    <row r="184" spans="1:11">
      <c r="A184" s="22">
        <f t="shared" si="26"/>
        <v>176</v>
      </c>
      <c r="B184" s="10">
        <f t="shared" si="21"/>
        <v>257</v>
      </c>
      <c r="C184" s="24" t="str">
        <f t="shared" si="27"/>
        <v>0101</v>
      </c>
      <c r="D184" s="2" t="str">
        <f t="shared" si="28"/>
        <v>B1</v>
      </c>
      <c r="E184" s="2" t="s">
        <v>166</v>
      </c>
      <c r="F184" s="20" t="str">
        <f t="shared" si="31"/>
        <v>INTERLACE C4/C9 COUNTERS (CRTC 0, 2)</v>
      </c>
      <c r="G184" s="2"/>
      <c r="H184" s="14"/>
      <c r="I184" s="14"/>
      <c r="J184" s="14"/>
    </row>
    <row r="185" spans="1:11">
      <c r="A185" s="22">
        <f t="shared" si="26"/>
        <v>177</v>
      </c>
      <c r="B185" s="10">
        <f>B184+1</f>
        <v>258</v>
      </c>
      <c r="C185" s="24" t="str">
        <f>DEC2HEX(B185,4)</f>
        <v>0102</v>
      </c>
      <c r="D185" s="2" t="str">
        <f t="shared" si="28"/>
        <v>B1</v>
      </c>
      <c r="E185" s="21" t="s">
        <v>167</v>
      </c>
      <c r="F185" s="20" t="str">
        <f t="shared" si="31"/>
        <v>INTERLACE C4/C9 COUNTERS (CRTC 0, 2)</v>
      </c>
      <c r="G185" s="2"/>
      <c r="H185" s="14"/>
      <c r="I185" s="14"/>
      <c r="J185" s="14"/>
      <c r="K185" s="14"/>
    </row>
    <row r="186" spans="1:11">
      <c r="A186" s="22">
        <f t="shared" si="26"/>
        <v>178</v>
      </c>
      <c r="B186" s="10">
        <f>B185+1</f>
        <v>259</v>
      </c>
      <c r="C186" s="24" t="str">
        <f>DEC2HEX(B186,4)</f>
        <v>0103</v>
      </c>
      <c r="D186" s="2" t="str">
        <f t="shared" si="28"/>
        <v>B1</v>
      </c>
      <c r="E186" s="21" t="s">
        <v>168</v>
      </c>
      <c r="F186" s="20" t="str">
        <f t="shared" si="31"/>
        <v>INTERLACE C4/C9 COUNTERS (CRTC 0, 2)</v>
      </c>
      <c r="G186" s="2"/>
      <c r="H186" s="14"/>
      <c r="I186" s="14"/>
      <c r="J186" s="14"/>
      <c r="K186" s="14"/>
    </row>
    <row r="187" spans="1:11">
      <c r="A187" s="22">
        <f t="shared" si="26"/>
        <v>179</v>
      </c>
      <c r="B187" s="10">
        <f>B186+1</f>
        <v>260</v>
      </c>
      <c r="C187" s="24" t="str">
        <f t="shared" ref="C187:C250" si="32">DEC2HEX(B187,4)</f>
        <v>0104</v>
      </c>
      <c r="D187" s="2" t="str">
        <f t="shared" si="28"/>
        <v>B1</v>
      </c>
      <c r="E187" s="21" t="s">
        <v>169</v>
      </c>
      <c r="F187" s="20" t="str">
        <f t="shared" si="31"/>
        <v>INTERLACE C4/C9 COUNTERS (CRTC 0, 2)</v>
      </c>
      <c r="G187" s="2"/>
      <c r="H187" s="14"/>
      <c r="I187" s="14"/>
      <c r="J187" s="14"/>
      <c r="K187" s="14"/>
    </row>
    <row r="188" spans="1:11">
      <c r="A188" s="22">
        <f t="shared" si="26"/>
        <v>180</v>
      </c>
      <c r="B188" s="10">
        <f t="shared" ref="B188:B248" si="33">B187+1</f>
        <v>261</v>
      </c>
      <c r="C188" s="24" t="str">
        <f t="shared" si="32"/>
        <v>0105</v>
      </c>
      <c r="D188" s="2" t="str">
        <f t="shared" si="28"/>
        <v>B1</v>
      </c>
      <c r="E188" s="21" t="s">
        <v>170</v>
      </c>
      <c r="F188" s="20" t="str">
        <f t="shared" si="31"/>
        <v>INTERLACE C4/C9 COUNTERS (CRTC 0, 2)</v>
      </c>
      <c r="G188" s="2"/>
      <c r="H188" s="14"/>
      <c r="I188" s="14"/>
      <c r="J188" s="14"/>
      <c r="K188" s="14"/>
    </row>
    <row r="189" spans="1:11">
      <c r="A189" s="22">
        <f t="shared" si="26"/>
        <v>181</v>
      </c>
      <c r="B189" s="10">
        <f t="shared" si="33"/>
        <v>262</v>
      </c>
      <c r="C189" s="24" t="str">
        <f t="shared" si="32"/>
        <v>0106</v>
      </c>
      <c r="D189" s="2" t="str">
        <f t="shared" si="28"/>
        <v>B1</v>
      </c>
      <c r="E189" s="21" t="s">
        <v>171</v>
      </c>
      <c r="F189" s="20" t="str">
        <f t="shared" si="31"/>
        <v>INTERLACE C4/C9 COUNTERS (CRTC 0, 2)</v>
      </c>
      <c r="G189" s="2"/>
      <c r="H189" s="14"/>
      <c r="I189" s="14"/>
      <c r="J189" s="14"/>
      <c r="K189" s="14"/>
    </row>
    <row r="190" spans="1:11">
      <c r="A190" s="22">
        <f t="shared" si="26"/>
        <v>182</v>
      </c>
      <c r="B190" s="10">
        <f t="shared" si="33"/>
        <v>263</v>
      </c>
      <c r="C190" s="24" t="str">
        <f t="shared" si="32"/>
        <v>0107</v>
      </c>
      <c r="D190" s="2" t="str">
        <f t="shared" si="28"/>
        <v>B1</v>
      </c>
      <c r="E190" s="21" t="s">
        <v>172</v>
      </c>
      <c r="F190" s="20" t="str">
        <f t="shared" si="31"/>
        <v>INTERLACE C4/C9 COUNTERS (CRTC 0, 2)</v>
      </c>
      <c r="G190" s="2"/>
    </row>
    <row r="191" spans="1:11">
      <c r="A191" s="22">
        <f t="shared" si="26"/>
        <v>183</v>
      </c>
      <c r="B191" s="10">
        <f t="shared" si="33"/>
        <v>264</v>
      </c>
      <c r="C191" s="24" t="str">
        <f t="shared" si="32"/>
        <v>0108</v>
      </c>
      <c r="D191" s="2" t="str">
        <f t="shared" si="28"/>
        <v>B1</v>
      </c>
      <c r="E191" s="21" t="s">
        <v>173</v>
      </c>
      <c r="F191" s="20" t="str">
        <f t="shared" si="31"/>
        <v>INTERLACE C4/C9 COUNTERS (CRTC 0, 2)</v>
      </c>
      <c r="G191" s="2"/>
    </row>
    <row r="192" spans="1:11">
      <c r="A192" s="22">
        <f t="shared" si="26"/>
        <v>184</v>
      </c>
      <c r="B192" s="10">
        <f t="shared" si="33"/>
        <v>265</v>
      </c>
      <c r="C192" s="24" t="str">
        <f t="shared" si="32"/>
        <v>0109</v>
      </c>
      <c r="D192" s="2" t="str">
        <f t="shared" si="28"/>
        <v>B1</v>
      </c>
      <c r="E192" s="21" t="s">
        <v>174</v>
      </c>
      <c r="F192" s="20" t="str">
        <f t="shared" si="31"/>
        <v>INTERLACE C4/C9 COUNTERS (CRTC 0, 2)</v>
      </c>
      <c r="G192" s="2"/>
    </row>
    <row r="193" spans="1:7">
      <c r="A193" s="22">
        <f t="shared" si="26"/>
        <v>185</v>
      </c>
      <c r="B193" s="10">
        <f t="shared" si="33"/>
        <v>266</v>
      </c>
      <c r="C193" s="24" t="str">
        <f t="shared" si="32"/>
        <v>010A</v>
      </c>
      <c r="D193" s="2" t="str">
        <f t="shared" si="28"/>
        <v>B1</v>
      </c>
      <c r="E193" s="21" t="s">
        <v>175</v>
      </c>
      <c r="F193" s="20" t="str">
        <f t="shared" si="31"/>
        <v>INTERLACE C4/C9 COUNTERS (CRTC 0, 2)</v>
      </c>
      <c r="G193" s="2"/>
    </row>
    <row r="194" spans="1:7">
      <c r="A194" s="22">
        <f t="shared" si="26"/>
        <v>186</v>
      </c>
      <c r="B194" s="10">
        <f t="shared" si="33"/>
        <v>267</v>
      </c>
      <c r="C194" s="24" t="str">
        <f t="shared" si="32"/>
        <v>010B</v>
      </c>
      <c r="D194" s="2" t="str">
        <f t="shared" si="28"/>
        <v>B1</v>
      </c>
      <c r="E194" s="21" t="s">
        <v>176</v>
      </c>
      <c r="F194" s="20" t="str">
        <f t="shared" si="31"/>
        <v>INTERLACE C4/C9 COUNTERS (CRTC 0, 2)</v>
      </c>
      <c r="G194" s="2"/>
    </row>
    <row r="195" spans="1:7">
      <c r="A195" s="22">
        <f t="shared" si="26"/>
        <v>187</v>
      </c>
      <c r="B195" s="10">
        <f t="shared" si="33"/>
        <v>268</v>
      </c>
      <c r="C195" s="24" t="str">
        <f t="shared" si="32"/>
        <v>010C</v>
      </c>
      <c r="D195" s="2" t="str">
        <f t="shared" si="28"/>
        <v>B1</v>
      </c>
      <c r="E195" s="21" t="s">
        <v>177</v>
      </c>
      <c r="F195" s="20" t="str">
        <f t="shared" si="31"/>
        <v>INTERLACE C4/C9 COUNTERS (CRTC 0, 2)</v>
      </c>
      <c r="G195" s="2"/>
    </row>
    <row r="196" spans="1:7">
      <c r="A196" s="22">
        <f t="shared" si="26"/>
        <v>188</v>
      </c>
      <c r="B196" s="10">
        <f t="shared" si="33"/>
        <v>269</v>
      </c>
      <c r="C196" s="24" t="str">
        <f t="shared" si="32"/>
        <v>010D</v>
      </c>
      <c r="D196" s="2" t="str">
        <f t="shared" si="28"/>
        <v>B1</v>
      </c>
      <c r="E196" s="21" t="s">
        <v>178</v>
      </c>
      <c r="F196" s="20" t="str">
        <f t="shared" si="31"/>
        <v>INTERLACE C4/C9 COUNTERS (CRTC 0, 2)</v>
      </c>
      <c r="G196" s="2"/>
    </row>
    <row r="197" spans="1:7">
      <c r="A197" s="22">
        <f t="shared" si="26"/>
        <v>189</v>
      </c>
      <c r="B197" s="10">
        <f t="shared" si="33"/>
        <v>270</v>
      </c>
      <c r="C197" s="24" t="str">
        <f t="shared" si="32"/>
        <v>010E</v>
      </c>
      <c r="D197" s="2" t="str">
        <f t="shared" si="28"/>
        <v>B1</v>
      </c>
      <c r="E197" s="21" t="s">
        <v>414</v>
      </c>
      <c r="F197" s="20" t="str">
        <f t="shared" si="31"/>
        <v>INTERLACE C4/C9 COUNTERS (CRTC 0, 2)</v>
      </c>
      <c r="G197" s="2"/>
    </row>
    <row r="198" spans="1:7">
      <c r="A198" s="22">
        <f t="shared" si="26"/>
        <v>190</v>
      </c>
      <c r="B198" s="10">
        <f t="shared" si="33"/>
        <v>271</v>
      </c>
      <c r="C198" s="24" t="str">
        <f t="shared" si="32"/>
        <v>010F</v>
      </c>
      <c r="D198" s="2" t="str">
        <f t="shared" si="28"/>
        <v>B1</v>
      </c>
      <c r="E198" s="21" t="s">
        <v>415</v>
      </c>
      <c r="F198" s="20" t="str">
        <f t="shared" si="31"/>
        <v>INTERLACE C4/C9 COUNTERS (CRTC 0, 2)</v>
      </c>
      <c r="G198" s="2"/>
    </row>
    <row r="199" spans="1:7">
      <c r="A199" s="22">
        <f t="shared" si="26"/>
        <v>191</v>
      </c>
      <c r="B199" s="10">
        <f t="shared" si="33"/>
        <v>272</v>
      </c>
      <c r="C199" s="24" t="str">
        <f t="shared" si="32"/>
        <v>0110</v>
      </c>
      <c r="D199" s="2" t="str">
        <f t="shared" si="28"/>
        <v>B1</v>
      </c>
      <c r="E199" s="21" t="s">
        <v>179</v>
      </c>
      <c r="F199" s="20" t="str">
        <f t="shared" si="31"/>
        <v>INTERLACE C4/C9 COUNTERS (CRTC 0, 2)</v>
      </c>
      <c r="G199" s="2"/>
    </row>
    <row r="200" spans="1:7">
      <c r="A200" s="22">
        <f t="shared" si="26"/>
        <v>192</v>
      </c>
      <c r="B200" s="10">
        <f t="shared" si="33"/>
        <v>273</v>
      </c>
      <c r="C200" s="24" t="str">
        <f t="shared" si="32"/>
        <v>0111</v>
      </c>
      <c r="D200" s="2" t="str">
        <f t="shared" si="28"/>
        <v>B1</v>
      </c>
      <c r="E200" s="2" t="s">
        <v>183</v>
      </c>
      <c r="F200" s="20" t="s">
        <v>182</v>
      </c>
      <c r="G200" s="2"/>
    </row>
    <row r="201" spans="1:7">
      <c r="A201" s="22">
        <f t="shared" si="26"/>
        <v>193</v>
      </c>
      <c r="B201" s="10">
        <f t="shared" si="33"/>
        <v>274</v>
      </c>
      <c r="C201" s="24" t="str">
        <f t="shared" si="32"/>
        <v>0112</v>
      </c>
      <c r="D201" s="2" t="str">
        <f t="shared" si="28"/>
        <v>B1</v>
      </c>
      <c r="E201" s="2" t="s">
        <v>184</v>
      </c>
      <c r="F201" s="20" t="str">
        <f>F200</f>
        <v>INTERLACE C4/C9 COUNTERS (CRTC 0, 2)</v>
      </c>
      <c r="G201" s="2"/>
    </row>
    <row r="202" spans="1:7">
      <c r="A202" s="22">
        <f t="shared" ref="A202:A265" si="34">A201+1</f>
        <v>194</v>
      </c>
      <c r="B202" s="10">
        <f t="shared" si="33"/>
        <v>275</v>
      </c>
      <c r="C202" s="24" t="str">
        <f t="shared" si="32"/>
        <v>0113</v>
      </c>
      <c r="D202" s="2" t="str">
        <f t="shared" si="28"/>
        <v>B1</v>
      </c>
      <c r="E202" s="2" t="s">
        <v>185</v>
      </c>
      <c r="F202" s="20" t="str">
        <f t="shared" ref="F202:F262" si="35">F201</f>
        <v>INTERLACE C4/C9 COUNTERS (CRTC 0, 2)</v>
      </c>
      <c r="G202" s="2"/>
    </row>
    <row r="203" spans="1:7">
      <c r="A203" s="22">
        <f t="shared" si="34"/>
        <v>195</v>
      </c>
      <c r="B203" s="10">
        <f t="shared" si="33"/>
        <v>276</v>
      </c>
      <c r="C203" s="24" t="str">
        <f t="shared" si="32"/>
        <v>0114</v>
      </c>
      <c r="D203" s="2" t="str">
        <f t="shared" ref="D203:D262" si="36">D202</f>
        <v>B1</v>
      </c>
      <c r="E203" s="2" t="s">
        <v>186</v>
      </c>
      <c r="F203" s="20" t="str">
        <f t="shared" si="35"/>
        <v>INTERLACE C4/C9 COUNTERS (CRTC 0, 2)</v>
      </c>
      <c r="G203" s="2"/>
    </row>
    <row r="204" spans="1:7">
      <c r="A204" s="22">
        <f t="shared" si="34"/>
        <v>196</v>
      </c>
      <c r="B204" s="10">
        <f t="shared" si="33"/>
        <v>277</v>
      </c>
      <c r="C204" s="24" t="str">
        <f t="shared" si="32"/>
        <v>0115</v>
      </c>
      <c r="D204" s="2" t="str">
        <f t="shared" si="36"/>
        <v>B1</v>
      </c>
      <c r="E204" s="2" t="s">
        <v>187</v>
      </c>
      <c r="F204" s="20" t="str">
        <f t="shared" si="35"/>
        <v>INTERLACE C4/C9 COUNTERS (CRTC 0, 2)</v>
      </c>
      <c r="G204" s="2"/>
    </row>
    <row r="205" spans="1:7">
      <c r="A205" s="22">
        <f t="shared" si="34"/>
        <v>197</v>
      </c>
      <c r="B205" s="10">
        <f t="shared" si="33"/>
        <v>278</v>
      </c>
      <c r="C205" s="24" t="str">
        <f t="shared" si="32"/>
        <v>0116</v>
      </c>
      <c r="D205" s="2" t="str">
        <f t="shared" si="36"/>
        <v>B1</v>
      </c>
      <c r="E205" s="2" t="s">
        <v>188</v>
      </c>
      <c r="F205" s="20" t="str">
        <f t="shared" si="35"/>
        <v>INTERLACE C4/C9 COUNTERS (CRTC 0, 2)</v>
      </c>
      <c r="G205" s="2"/>
    </row>
    <row r="206" spans="1:7">
      <c r="A206" s="22">
        <f t="shared" si="34"/>
        <v>198</v>
      </c>
      <c r="B206" s="10">
        <f t="shared" si="33"/>
        <v>279</v>
      </c>
      <c r="C206" s="24" t="str">
        <f t="shared" si="32"/>
        <v>0117</v>
      </c>
      <c r="D206" s="2" t="str">
        <f t="shared" si="36"/>
        <v>B1</v>
      </c>
      <c r="E206" s="21" t="s">
        <v>189</v>
      </c>
      <c r="F206" s="20" t="str">
        <f t="shared" si="35"/>
        <v>INTERLACE C4/C9 COUNTERS (CRTC 0, 2)</v>
      </c>
      <c r="G206" s="2"/>
    </row>
    <row r="207" spans="1:7">
      <c r="A207" s="22">
        <f t="shared" si="34"/>
        <v>199</v>
      </c>
      <c r="B207" s="10">
        <f t="shared" si="33"/>
        <v>280</v>
      </c>
      <c r="C207" s="24" t="str">
        <f t="shared" si="32"/>
        <v>0118</v>
      </c>
      <c r="D207" s="2" t="str">
        <f t="shared" si="36"/>
        <v>B1</v>
      </c>
      <c r="E207" s="21" t="s">
        <v>190</v>
      </c>
      <c r="F207" s="20" t="str">
        <f t="shared" si="35"/>
        <v>INTERLACE C4/C9 COUNTERS (CRTC 0, 2)</v>
      </c>
      <c r="G207" s="2"/>
    </row>
    <row r="208" spans="1:7">
      <c r="A208" s="22">
        <f t="shared" si="34"/>
        <v>200</v>
      </c>
      <c r="B208" s="10">
        <f t="shared" si="33"/>
        <v>281</v>
      </c>
      <c r="C208" s="24" t="str">
        <f t="shared" si="32"/>
        <v>0119</v>
      </c>
      <c r="D208" s="2" t="str">
        <f t="shared" si="36"/>
        <v>B1</v>
      </c>
      <c r="E208" s="21" t="s">
        <v>191</v>
      </c>
      <c r="F208" s="20" t="str">
        <f t="shared" si="35"/>
        <v>INTERLACE C4/C9 COUNTERS (CRTC 0, 2)</v>
      </c>
      <c r="G208" s="2"/>
    </row>
    <row r="209" spans="1:7">
      <c r="A209" s="22">
        <f t="shared" si="34"/>
        <v>201</v>
      </c>
      <c r="B209" s="10">
        <f t="shared" si="33"/>
        <v>282</v>
      </c>
      <c r="C209" s="24" t="str">
        <f t="shared" si="32"/>
        <v>011A</v>
      </c>
      <c r="D209" s="2" t="str">
        <f t="shared" si="36"/>
        <v>B1</v>
      </c>
      <c r="E209" s="21" t="s">
        <v>192</v>
      </c>
      <c r="F209" s="20" t="str">
        <f t="shared" si="35"/>
        <v>INTERLACE C4/C9 COUNTERS (CRTC 0, 2)</v>
      </c>
      <c r="G209" s="2"/>
    </row>
    <row r="210" spans="1:7">
      <c r="A210" s="22">
        <f t="shared" si="34"/>
        <v>202</v>
      </c>
      <c r="B210" s="10">
        <f t="shared" si="33"/>
        <v>283</v>
      </c>
      <c r="C210" s="24" t="str">
        <f t="shared" si="32"/>
        <v>011B</v>
      </c>
      <c r="D210" s="2" t="str">
        <f t="shared" si="36"/>
        <v>B1</v>
      </c>
      <c r="E210" s="21" t="s">
        <v>193</v>
      </c>
      <c r="F210" s="20" t="str">
        <f t="shared" si="35"/>
        <v>INTERLACE C4/C9 COUNTERS (CRTC 0, 2)</v>
      </c>
      <c r="G210" s="2"/>
    </row>
    <row r="211" spans="1:7">
      <c r="A211" s="22">
        <f t="shared" si="34"/>
        <v>203</v>
      </c>
      <c r="B211" s="10">
        <f t="shared" si="33"/>
        <v>284</v>
      </c>
      <c r="C211" s="24" t="str">
        <f t="shared" si="32"/>
        <v>011C</v>
      </c>
      <c r="D211" s="2" t="str">
        <f t="shared" si="36"/>
        <v>B1</v>
      </c>
      <c r="E211" s="21" t="s">
        <v>194</v>
      </c>
      <c r="F211" s="20" t="str">
        <f t="shared" si="35"/>
        <v>INTERLACE C4/C9 COUNTERS (CRTC 0, 2)</v>
      </c>
      <c r="G211" s="2"/>
    </row>
    <row r="212" spans="1:7">
      <c r="A212" s="22">
        <f t="shared" si="34"/>
        <v>204</v>
      </c>
      <c r="B212" s="10">
        <f t="shared" si="33"/>
        <v>285</v>
      </c>
      <c r="C212" s="24" t="str">
        <f t="shared" si="32"/>
        <v>011D</v>
      </c>
      <c r="D212" s="2" t="str">
        <f t="shared" si="36"/>
        <v>B1</v>
      </c>
      <c r="E212" s="21" t="s">
        <v>195</v>
      </c>
      <c r="F212" s="20" t="str">
        <f t="shared" si="35"/>
        <v>INTERLACE C4/C9 COUNTERS (CRTC 0, 2)</v>
      </c>
      <c r="G212" s="2"/>
    </row>
    <row r="213" spans="1:7">
      <c r="A213" s="22">
        <f t="shared" si="34"/>
        <v>205</v>
      </c>
      <c r="B213" s="10">
        <f t="shared" si="33"/>
        <v>286</v>
      </c>
      <c r="C213" s="24" t="str">
        <f t="shared" si="32"/>
        <v>011E</v>
      </c>
      <c r="D213" s="2" t="str">
        <f t="shared" si="36"/>
        <v>B1</v>
      </c>
      <c r="E213" s="21" t="s">
        <v>196</v>
      </c>
      <c r="F213" s="20" t="str">
        <f t="shared" si="35"/>
        <v>INTERLACE C4/C9 COUNTERS (CRTC 0, 2)</v>
      </c>
      <c r="G213" s="2"/>
    </row>
    <row r="214" spans="1:7">
      <c r="A214" s="22">
        <f t="shared" si="34"/>
        <v>206</v>
      </c>
      <c r="B214" s="10">
        <f t="shared" si="33"/>
        <v>287</v>
      </c>
      <c r="C214" s="24" t="str">
        <f t="shared" si="32"/>
        <v>011F</v>
      </c>
      <c r="D214" s="2" t="str">
        <f t="shared" si="36"/>
        <v>B1</v>
      </c>
      <c r="E214" s="21" t="s">
        <v>197</v>
      </c>
      <c r="F214" s="20" t="str">
        <f t="shared" si="35"/>
        <v>INTERLACE C4/C9 COUNTERS (CRTC 0, 2)</v>
      </c>
      <c r="G214" s="2"/>
    </row>
    <row r="215" spans="1:7">
      <c r="A215" s="22">
        <f t="shared" si="34"/>
        <v>207</v>
      </c>
      <c r="B215" s="10">
        <f t="shared" si="33"/>
        <v>288</v>
      </c>
      <c r="C215" s="24" t="str">
        <f t="shared" si="32"/>
        <v>0120</v>
      </c>
      <c r="D215" s="2" t="str">
        <f t="shared" si="36"/>
        <v>B1</v>
      </c>
      <c r="E215" s="21" t="s">
        <v>198</v>
      </c>
      <c r="F215" s="20" t="str">
        <f t="shared" si="35"/>
        <v>INTERLACE C4/C9 COUNTERS (CRTC 0, 2)</v>
      </c>
      <c r="G215" s="2"/>
    </row>
    <row r="216" spans="1:7">
      <c r="A216" s="22">
        <f t="shared" si="34"/>
        <v>208</v>
      </c>
      <c r="B216" s="10">
        <f t="shared" si="33"/>
        <v>289</v>
      </c>
      <c r="C216" s="24" t="str">
        <f t="shared" si="32"/>
        <v>0121</v>
      </c>
      <c r="D216" s="2" t="str">
        <f t="shared" si="36"/>
        <v>B1</v>
      </c>
      <c r="E216" s="21" t="s">
        <v>199</v>
      </c>
      <c r="F216" s="20" t="str">
        <f t="shared" si="35"/>
        <v>INTERLACE C4/C9 COUNTERS (CRTC 0, 2)</v>
      </c>
      <c r="G216" s="2"/>
    </row>
    <row r="217" spans="1:7">
      <c r="A217" s="22">
        <f t="shared" si="34"/>
        <v>209</v>
      </c>
      <c r="B217" s="10">
        <f t="shared" si="33"/>
        <v>290</v>
      </c>
      <c r="C217" s="24" t="str">
        <f t="shared" si="32"/>
        <v>0122</v>
      </c>
      <c r="D217" s="2" t="str">
        <f t="shared" si="36"/>
        <v>B1</v>
      </c>
      <c r="E217" s="21" t="s">
        <v>200</v>
      </c>
      <c r="F217" s="20" t="str">
        <f t="shared" si="35"/>
        <v>INTERLACE C4/C9 COUNTERS (CRTC 0, 2)</v>
      </c>
      <c r="G217" s="2"/>
    </row>
    <row r="218" spans="1:7">
      <c r="A218" s="22">
        <f t="shared" si="34"/>
        <v>210</v>
      </c>
      <c r="B218" s="10">
        <f t="shared" si="33"/>
        <v>291</v>
      </c>
      <c r="C218" s="24" t="str">
        <f t="shared" si="32"/>
        <v>0123</v>
      </c>
      <c r="D218" s="2" t="str">
        <f t="shared" si="36"/>
        <v>B1</v>
      </c>
      <c r="E218" s="21" t="s">
        <v>420</v>
      </c>
      <c r="F218" s="20" t="str">
        <f t="shared" si="35"/>
        <v>INTERLACE C4/C9 COUNTERS (CRTC 0, 2)</v>
      </c>
      <c r="G218" s="2"/>
    </row>
    <row r="219" spans="1:7">
      <c r="A219" s="22">
        <f t="shared" si="34"/>
        <v>211</v>
      </c>
      <c r="B219" s="10">
        <f t="shared" si="33"/>
        <v>292</v>
      </c>
      <c r="C219" s="24" t="str">
        <f t="shared" si="32"/>
        <v>0124</v>
      </c>
      <c r="D219" s="2" t="str">
        <f t="shared" si="36"/>
        <v>B1</v>
      </c>
      <c r="E219" s="21" t="s">
        <v>421</v>
      </c>
      <c r="F219" s="20" t="str">
        <f t="shared" si="35"/>
        <v>INTERLACE C4/C9 COUNTERS (CRTC 0, 2)</v>
      </c>
      <c r="G219" s="2"/>
    </row>
    <row r="220" spans="1:7">
      <c r="A220" s="22">
        <f t="shared" si="34"/>
        <v>212</v>
      </c>
      <c r="B220" s="10">
        <f t="shared" si="33"/>
        <v>293</v>
      </c>
      <c r="C220" s="24" t="str">
        <f t="shared" si="32"/>
        <v>0125</v>
      </c>
      <c r="D220" s="2" t="str">
        <f t="shared" si="36"/>
        <v>B1</v>
      </c>
      <c r="E220" s="21" t="s">
        <v>201</v>
      </c>
      <c r="F220" s="20" t="str">
        <f t="shared" si="35"/>
        <v>INTERLACE C4/C9 COUNTERS (CRTC 0, 2)</v>
      </c>
      <c r="G220" s="2"/>
    </row>
    <row r="221" spans="1:7">
      <c r="A221" s="22">
        <f t="shared" si="34"/>
        <v>213</v>
      </c>
      <c r="B221" s="10">
        <f t="shared" si="33"/>
        <v>294</v>
      </c>
      <c r="C221" s="24" t="str">
        <f t="shared" si="32"/>
        <v>0126</v>
      </c>
      <c r="D221" s="2" t="str">
        <f t="shared" si="36"/>
        <v>B1</v>
      </c>
      <c r="E221" s="2" t="s">
        <v>204</v>
      </c>
      <c r="F221" s="20" t="str">
        <f t="shared" si="35"/>
        <v>INTERLACE C4/C9 COUNTERS (CRTC 0, 2)</v>
      </c>
      <c r="G221" s="2"/>
    </row>
    <row r="222" spans="1:7">
      <c r="A222" s="22">
        <f t="shared" si="34"/>
        <v>214</v>
      </c>
      <c r="B222" s="10">
        <f t="shared" si="33"/>
        <v>295</v>
      </c>
      <c r="C222" s="24" t="str">
        <f t="shared" si="32"/>
        <v>0127</v>
      </c>
      <c r="D222" s="2" t="str">
        <f t="shared" si="36"/>
        <v>B1</v>
      </c>
      <c r="E222" s="2" t="s">
        <v>205</v>
      </c>
      <c r="F222" s="20" t="str">
        <f t="shared" si="35"/>
        <v>INTERLACE C4/C9 COUNTERS (CRTC 0, 2)</v>
      </c>
      <c r="G222" s="2"/>
    </row>
    <row r="223" spans="1:7">
      <c r="A223" s="22">
        <f t="shared" si="34"/>
        <v>215</v>
      </c>
      <c r="B223" s="10">
        <f t="shared" si="33"/>
        <v>296</v>
      </c>
      <c r="C223" s="24" t="str">
        <f t="shared" si="32"/>
        <v>0128</v>
      </c>
      <c r="D223" s="2" t="str">
        <f t="shared" si="36"/>
        <v>B1</v>
      </c>
      <c r="E223" s="2" t="s">
        <v>206</v>
      </c>
      <c r="F223" s="20" t="str">
        <f t="shared" si="35"/>
        <v>INTERLACE C4/C9 COUNTERS (CRTC 0, 2)</v>
      </c>
      <c r="G223" s="2"/>
    </row>
    <row r="224" spans="1:7">
      <c r="A224" s="22">
        <f t="shared" si="34"/>
        <v>216</v>
      </c>
      <c r="B224" s="10">
        <f t="shared" si="33"/>
        <v>297</v>
      </c>
      <c r="C224" s="24" t="str">
        <f t="shared" si="32"/>
        <v>0129</v>
      </c>
      <c r="D224" s="2" t="str">
        <f t="shared" si="36"/>
        <v>B1</v>
      </c>
      <c r="E224" s="2" t="s">
        <v>207</v>
      </c>
      <c r="F224" s="20" t="str">
        <f t="shared" si="35"/>
        <v>INTERLACE C4/C9 COUNTERS (CRTC 0, 2)</v>
      </c>
      <c r="G224" s="2"/>
    </row>
    <row r="225" spans="1:7">
      <c r="A225" s="22">
        <f t="shared" si="34"/>
        <v>217</v>
      </c>
      <c r="B225" s="10">
        <f t="shared" si="33"/>
        <v>298</v>
      </c>
      <c r="C225" s="24" t="str">
        <f t="shared" si="32"/>
        <v>012A</v>
      </c>
      <c r="D225" s="2" t="str">
        <f t="shared" si="36"/>
        <v>B1</v>
      </c>
      <c r="E225" s="2" t="s">
        <v>208</v>
      </c>
      <c r="F225" s="20" t="str">
        <f t="shared" si="35"/>
        <v>INTERLACE C4/C9 COUNTERS (CRTC 0, 2)</v>
      </c>
      <c r="G225" s="2"/>
    </row>
    <row r="226" spans="1:7">
      <c r="A226" s="22">
        <f t="shared" si="34"/>
        <v>218</v>
      </c>
      <c r="B226" s="10">
        <f t="shared" si="33"/>
        <v>299</v>
      </c>
      <c r="C226" s="24" t="str">
        <f t="shared" si="32"/>
        <v>012B</v>
      </c>
      <c r="D226" s="2" t="str">
        <f t="shared" si="36"/>
        <v>B1</v>
      </c>
      <c r="E226" s="2" t="s">
        <v>209</v>
      </c>
      <c r="F226" s="20" t="str">
        <f t="shared" si="35"/>
        <v>INTERLACE C4/C9 COUNTERS (CRTC 0, 2)</v>
      </c>
      <c r="G226" s="2"/>
    </row>
    <row r="227" spans="1:7">
      <c r="A227" s="22">
        <f t="shared" si="34"/>
        <v>219</v>
      </c>
      <c r="B227" s="10">
        <f t="shared" si="33"/>
        <v>300</v>
      </c>
      <c r="C227" s="24" t="str">
        <f t="shared" si="32"/>
        <v>012C</v>
      </c>
      <c r="D227" s="2" t="str">
        <f t="shared" si="36"/>
        <v>B1</v>
      </c>
      <c r="E227" s="21" t="s">
        <v>210</v>
      </c>
      <c r="F227" s="20" t="str">
        <f t="shared" si="35"/>
        <v>INTERLACE C4/C9 COUNTERS (CRTC 0, 2)</v>
      </c>
      <c r="G227" s="2"/>
    </row>
    <row r="228" spans="1:7">
      <c r="A228" s="22">
        <f t="shared" si="34"/>
        <v>220</v>
      </c>
      <c r="B228" s="10">
        <f t="shared" si="33"/>
        <v>301</v>
      </c>
      <c r="C228" s="24" t="str">
        <f t="shared" si="32"/>
        <v>012D</v>
      </c>
      <c r="D228" s="2" t="str">
        <f t="shared" si="36"/>
        <v>B1</v>
      </c>
      <c r="E228" s="21" t="s">
        <v>211</v>
      </c>
      <c r="F228" s="20" t="str">
        <f t="shared" si="35"/>
        <v>INTERLACE C4/C9 COUNTERS (CRTC 0, 2)</v>
      </c>
      <c r="G228" s="2"/>
    </row>
    <row r="229" spans="1:7">
      <c r="A229" s="22">
        <f t="shared" si="34"/>
        <v>221</v>
      </c>
      <c r="B229" s="10">
        <f t="shared" si="33"/>
        <v>302</v>
      </c>
      <c r="C229" s="24" t="str">
        <f t="shared" si="32"/>
        <v>012E</v>
      </c>
      <c r="D229" s="2" t="str">
        <f t="shared" si="36"/>
        <v>B1</v>
      </c>
      <c r="E229" s="21" t="s">
        <v>212</v>
      </c>
      <c r="F229" s="20" t="str">
        <f t="shared" si="35"/>
        <v>INTERLACE C4/C9 COUNTERS (CRTC 0, 2)</v>
      </c>
      <c r="G229" s="2"/>
    </row>
    <row r="230" spans="1:7">
      <c r="A230" s="22">
        <f t="shared" si="34"/>
        <v>222</v>
      </c>
      <c r="B230" s="10">
        <f t="shared" si="33"/>
        <v>303</v>
      </c>
      <c r="C230" s="24" t="str">
        <f t="shared" si="32"/>
        <v>012F</v>
      </c>
      <c r="D230" s="2" t="str">
        <f t="shared" si="36"/>
        <v>B1</v>
      </c>
      <c r="E230" s="21" t="s">
        <v>213</v>
      </c>
      <c r="F230" s="20" t="str">
        <f t="shared" si="35"/>
        <v>INTERLACE C4/C9 COUNTERS (CRTC 0, 2)</v>
      </c>
      <c r="G230" s="2"/>
    </row>
    <row r="231" spans="1:7">
      <c r="A231" s="22">
        <f t="shared" si="34"/>
        <v>223</v>
      </c>
      <c r="B231" s="10">
        <f t="shared" si="33"/>
        <v>304</v>
      </c>
      <c r="C231" s="24" t="str">
        <f t="shared" si="32"/>
        <v>0130</v>
      </c>
      <c r="D231" s="2" t="str">
        <f t="shared" si="36"/>
        <v>B1</v>
      </c>
      <c r="E231" s="21" t="s">
        <v>214</v>
      </c>
      <c r="F231" s="20" t="str">
        <f t="shared" si="35"/>
        <v>INTERLACE C4/C9 COUNTERS (CRTC 0, 2)</v>
      </c>
      <c r="G231" s="2"/>
    </row>
    <row r="232" spans="1:7">
      <c r="A232" s="22">
        <f t="shared" si="34"/>
        <v>224</v>
      </c>
      <c r="B232" s="10">
        <f t="shared" si="33"/>
        <v>305</v>
      </c>
      <c r="C232" s="24" t="str">
        <f t="shared" si="32"/>
        <v>0131</v>
      </c>
      <c r="D232" s="2" t="str">
        <f t="shared" si="36"/>
        <v>B1</v>
      </c>
      <c r="E232" s="21" t="s">
        <v>215</v>
      </c>
      <c r="F232" s="20" t="str">
        <f t="shared" si="35"/>
        <v>INTERLACE C4/C9 COUNTERS (CRTC 0, 2)</v>
      </c>
      <c r="G232" s="2"/>
    </row>
    <row r="233" spans="1:7">
      <c r="A233" s="22">
        <f t="shared" si="34"/>
        <v>225</v>
      </c>
      <c r="B233" s="10">
        <f t="shared" si="33"/>
        <v>306</v>
      </c>
      <c r="C233" s="24" t="str">
        <f t="shared" si="32"/>
        <v>0132</v>
      </c>
      <c r="D233" s="2" t="str">
        <f t="shared" si="36"/>
        <v>B1</v>
      </c>
      <c r="E233" s="21" t="s">
        <v>216</v>
      </c>
      <c r="F233" s="20" t="str">
        <f t="shared" si="35"/>
        <v>INTERLACE C4/C9 COUNTERS (CRTC 0, 2)</v>
      </c>
      <c r="G233" s="2"/>
    </row>
    <row r="234" spans="1:7">
      <c r="A234" s="22">
        <f t="shared" si="34"/>
        <v>226</v>
      </c>
      <c r="B234" s="10">
        <f t="shared" si="33"/>
        <v>307</v>
      </c>
      <c r="C234" s="24" t="str">
        <f t="shared" si="32"/>
        <v>0133</v>
      </c>
      <c r="D234" s="2" t="str">
        <f t="shared" si="36"/>
        <v>B1</v>
      </c>
      <c r="E234" s="21" t="s">
        <v>217</v>
      </c>
      <c r="F234" s="20" t="str">
        <f t="shared" si="35"/>
        <v>INTERLACE C4/C9 COUNTERS (CRTC 0, 2)</v>
      </c>
      <c r="G234" s="2"/>
    </row>
    <row r="235" spans="1:7">
      <c r="A235" s="22">
        <f t="shared" si="34"/>
        <v>227</v>
      </c>
      <c r="B235" s="10">
        <f t="shared" si="33"/>
        <v>308</v>
      </c>
      <c r="C235" s="24" t="str">
        <f t="shared" si="32"/>
        <v>0134</v>
      </c>
      <c r="D235" s="2" t="str">
        <f t="shared" si="36"/>
        <v>B1</v>
      </c>
      <c r="E235" s="21" t="s">
        <v>218</v>
      </c>
      <c r="F235" s="20" t="str">
        <f t="shared" si="35"/>
        <v>INTERLACE C4/C9 COUNTERS (CRTC 0, 2)</v>
      </c>
      <c r="G235" s="2"/>
    </row>
    <row r="236" spans="1:7">
      <c r="A236" s="22">
        <f t="shared" si="34"/>
        <v>228</v>
      </c>
      <c r="B236" s="10">
        <f t="shared" si="33"/>
        <v>309</v>
      </c>
      <c r="C236" s="24" t="str">
        <f t="shared" si="32"/>
        <v>0135</v>
      </c>
      <c r="D236" s="2" t="str">
        <f t="shared" si="36"/>
        <v>B1</v>
      </c>
      <c r="E236" s="21" t="s">
        <v>219</v>
      </c>
      <c r="F236" s="20" t="str">
        <f t="shared" si="35"/>
        <v>INTERLACE C4/C9 COUNTERS (CRTC 0, 2)</v>
      </c>
      <c r="G236" s="2"/>
    </row>
    <row r="237" spans="1:7">
      <c r="A237" s="22">
        <f t="shared" si="34"/>
        <v>229</v>
      </c>
      <c r="B237" s="10">
        <f t="shared" si="33"/>
        <v>310</v>
      </c>
      <c r="C237" s="24" t="str">
        <f t="shared" si="32"/>
        <v>0136</v>
      </c>
      <c r="D237" s="2" t="str">
        <f t="shared" si="36"/>
        <v>B1</v>
      </c>
      <c r="E237" s="21" t="s">
        <v>220</v>
      </c>
      <c r="F237" s="20" t="str">
        <f t="shared" si="35"/>
        <v>INTERLACE C4/C9 COUNTERS (CRTC 0, 2)</v>
      </c>
      <c r="G237" s="2"/>
    </row>
    <row r="238" spans="1:7">
      <c r="A238" s="22">
        <f t="shared" si="34"/>
        <v>230</v>
      </c>
      <c r="B238" s="10">
        <f t="shared" si="33"/>
        <v>311</v>
      </c>
      <c r="C238" s="24" t="str">
        <f t="shared" si="32"/>
        <v>0137</v>
      </c>
      <c r="D238" s="2" t="str">
        <f t="shared" si="36"/>
        <v>B1</v>
      </c>
      <c r="E238" s="21" t="s">
        <v>221</v>
      </c>
      <c r="F238" s="20" t="str">
        <f t="shared" si="35"/>
        <v>INTERLACE C4/C9 COUNTERS (CRTC 0, 2)</v>
      </c>
      <c r="G238" s="2"/>
    </row>
    <row r="239" spans="1:7">
      <c r="A239" s="22">
        <f t="shared" si="34"/>
        <v>231</v>
      </c>
      <c r="B239" s="10">
        <f t="shared" si="33"/>
        <v>312</v>
      </c>
      <c r="C239" s="24" t="str">
        <f t="shared" si="32"/>
        <v>0138</v>
      </c>
      <c r="D239" s="2" t="str">
        <f t="shared" si="36"/>
        <v>B1</v>
      </c>
      <c r="E239" s="21" t="s">
        <v>422</v>
      </c>
      <c r="F239" s="20" t="str">
        <f t="shared" si="35"/>
        <v>INTERLACE C4/C9 COUNTERS (CRTC 0, 2)</v>
      </c>
      <c r="G239" s="2"/>
    </row>
    <row r="240" spans="1:7">
      <c r="A240" s="22">
        <f t="shared" si="34"/>
        <v>232</v>
      </c>
      <c r="B240" s="10">
        <f t="shared" si="33"/>
        <v>313</v>
      </c>
      <c r="C240" s="24" t="str">
        <f t="shared" si="32"/>
        <v>0139</v>
      </c>
      <c r="D240" s="2" t="str">
        <f t="shared" si="36"/>
        <v>B1</v>
      </c>
      <c r="E240" s="21" t="s">
        <v>423</v>
      </c>
      <c r="F240" s="20" t="str">
        <f t="shared" si="35"/>
        <v>INTERLACE C4/C9 COUNTERS (CRTC 0, 2)</v>
      </c>
      <c r="G240" s="2"/>
    </row>
    <row r="241" spans="1:7">
      <c r="A241" s="22">
        <f t="shared" si="34"/>
        <v>233</v>
      </c>
      <c r="B241" s="18">
        <f t="shared" si="33"/>
        <v>314</v>
      </c>
      <c r="C241" s="25" t="str">
        <f t="shared" si="32"/>
        <v>013A</v>
      </c>
      <c r="D241" s="2" t="str">
        <f t="shared" si="36"/>
        <v>B1</v>
      </c>
      <c r="E241" s="21" t="s">
        <v>222</v>
      </c>
      <c r="F241" s="20" t="str">
        <f t="shared" si="35"/>
        <v>INTERLACE C4/C9 COUNTERS (CRTC 0, 2)</v>
      </c>
      <c r="G241" s="19"/>
    </row>
    <row r="242" spans="1:7">
      <c r="A242" s="22">
        <f t="shared" si="34"/>
        <v>234</v>
      </c>
      <c r="B242" s="10">
        <f t="shared" si="33"/>
        <v>315</v>
      </c>
      <c r="C242" s="24" t="str">
        <f t="shared" si="32"/>
        <v>013B</v>
      </c>
      <c r="D242" s="2" t="str">
        <f t="shared" si="36"/>
        <v>B1</v>
      </c>
      <c r="E242" s="2" t="s">
        <v>225</v>
      </c>
      <c r="F242" s="20" t="str">
        <f t="shared" si="35"/>
        <v>INTERLACE C4/C9 COUNTERS (CRTC 0, 2)</v>
      </c>
      <c r="G242" s="2"/>
    </row>
    <row r="243" spans="1:7">
      <c r="A243" s="22">
        <f t="shared" si="34"/>
        <v>235</v>
      </c>
      <c r="B243" s="10">
        <f t="shared" si="33"/>
        <v>316</v>
      </c>
      <c r="C243" s="24" t="str">
        <f t="shared" si="32"/>
        <v>013C</v>
      </c>
      <c r="D243" s="2" t="str">
        <f t="shared" si="36"/>
        <v>B1</v>
      </c>
      <c r="E243" s="2" t="s">
        <v>226</v>
      </c>
      <c r="F243" s="20" t="str">
        <f t="shared" si="35"/>
        <v>INTERLACE C4/C9 COUNTERS (CRTC 0, 2)</v>
      </c>
      <c r="G243" s="2"/>
    </row>
    <row r="244" spans="1:7">
      <c r="A244" s="22">
        <f t="shared" si="34"/>
        <v>236</v>
      </c>
      <c r="B244" s="10">
        <f t="shared" si="33"/>
        <v>317</v>
      </c>
      <c r="C244" s="24" t="str">
        <f t="shared" si="32"/>
        <v>013D</v>
      </c>
      <c r="D244" s="2" t="str">
        <f t="shared" si="36"/>
        <v>B1</v>
      </c>
      <c r="E244" s="2" t="s">
        <v>227</v>
      </c>
      <c r="F244" s="20" t="str">
        <f t="shared" si="35"/>
        <v>INTERLACE C4/C9 COUNTERS (CRTC 0, 2)</v>
      </c>
      <c r="G244" s="2"/>
    </row>
    <row r="245" spans="1:7">
      <c r="A245" s="22">
        <f t="shared" si="34"/>
        <v>237</v>
      </c>
      <c r="B245" s="10">
        <f t="shared" si="33"/>
        <v>318</v>
      </c>
      <c r="C245" s="24" t="str">
        <f t="shared" si="32"/>
        <v>013E</v>
      </c>
      <c r="D245" s="2" t="str">
        <f t="shared" si="36"/>
        <v>B1</v>
      </c>
      <c r="E245" s="2" t="s">
        <v>228</v>
      </c>
      <c r="F245" s="20" t="str">
        <f t="shared" si="35"/>
        <v>INTERLACE C4/C9 COUNTERS (CRTC 0, 2)</v>
      </c>
      <c r="G245" s="2"/>
    </row>
    <row r="246" spans="1:7">
      <c r="A246" s="22">
        <f t="shared" si="34"/>
        <v>238</v>
      </c>
      <c r="B246" s="10">
        <f t="shared" si="33"/>
        <v>319</v>
      </c>
      <c r="C246" s="24" t="str">
        <f t="shared" si="32"/>
        <v>013F</v>
      </c>
      <c r="D246" s="2" t="str">
        <f t="shared" si="36"/>
        <v>B1</v>
      </c>
      <c r="E246" s="2" t="s">
        <v>229</v>
      </c>
      <c r="F246" s="20" t="str">
        <f t="shared" si="35"/>
        <v>INTERLACE C4/C9 COUNTERS (CRTC 0, 2)</v>
      </c>
      <c r="G246" s="2"/>
    </row>
    <row r="247" spans="1:7">
      <c r="A247" s="22">
        <f t="shared" si="34"/>
        <v>239</v>
      </c>
      <c r="B247" s="10">
        <f>B246+64</f>
        <v>383</v>
      </c>
      <c r="C247" s="24" t="str">
        <f t="shared" si="32"/>
        <v>017F</v>
      </c>
      <c r="D247" s="2" t="str">
        <f t="shared" si="36"/>
        <v>B1</v>
      </c>
      <c r="E247" s="2" t="s">
        <v>230</v>
      </c>
      <c r="F247" s="20" t="str">
        <f t="shared" si="35"/>
        <v>INTERLACE C4/C9 COUNTERS (CRTC 0, 2)</v>
      </c>
      <c r="G247" s="2"/>
    </row>
    <row r="248" spans="1:7">
      <c r="A248" s="22">
        <f t="shared" si="34"/>
        <v>240</v>
      </c>
      <c r="B248" s="10">
        <f t="shared" si="33"/>
        <v>384</v>
      </c>
      <c r="C248" s="24" t="str">
        <f t="shared" si="32"/>
        <v>0180</v>
      </c>
      <c r="D248" s="2" t="str">
        <f t="shared" si="36"/>
        <v>B1</v>
      </c>
      <c r="E248" s="21" t="s">
        <v>231</v>
      </c>
      <c r="F248" s="20" t="str">
        <f t="shared" si="35"/>
        <v>INTERLACE C4/C9 COUNTERS (CRTC 0, 2)</v>
      </c>
      <c r="G248" s="2"/>
    </row>
    <row r="249" spans="1:7">
      <c r="A249" s="22">
        <f t="shared" si="34"/>
        <v>241</v>
      </c>
      <c r="B249" s="10">
        <f>B248+1</f>
        <v>385</v>
      </c>
      <c r="C249" s="24" t="str">
        <f t="shared" si="32"/>
        <v>0181</v>
      </c>
      <c r="D249" s="2" t="str">
        <f t="shared" si="36"/>
        <v>B1</v>
      </c>
      <c r="E249" s="21" t="s">
        <v>232</v>
      </c>
      <c r="F249" s="20" t="str">
        <f t="shared" si="35"/>
        <v>INTERLACE C4/C9 COUNTERS (CRTC 0, 2)</v>
      </c>
      <c r="G249" s="2"/>
    </row>
    <row r="250" spans="1:7">
      <c r="A250" s="22">
        <f t="shared" si="34"/>
        <v>242</v>
      </c>
      <c r="B250" s="10">
        <f>B249+1</f>
        <v>386</v>
      </c>
      <c r="C250" s="24" t="str">
        <f t="shared" si="32"/>
        <v>0182</v>
      </c>
      <c r="D250" s="2" t="str">
        <f t="shared" si="36"/>
        <v>B1</v>
      </c>
      <c r="E250" s="21" t="s">
        <v>233</v>
      </c>
      <c r="F250" s="20" t="str">
        <f t="shared" si="35"/>
        <v>INTERLACE C4/C9 COUNTERS (CRTC 0, 2)</v>
      </c>
      <c r="G250" s="2"/>
    </row>
    <row r="251" spans="1:7">
      <c r="A251" s="22">
        <f t="shared" si="34"/>
        <v>243</v>
      </c>
      <c r="B251" s="10">
        <f t="shared" ref="B251:B281" si="37">B250+1</f>
        <v>387</v>
      </c>
      <c r="C251" s="24" t="str">
        <f t="shared" ref="C251:C277" si="38">DEC2HEX(B251,4)</f>
        <v>0183</v>
      </c>
      <c r="D251" s="2" t="str">
        <f t="shared" si="36"/>
        <v>B1</v>
      </c>
      <c r="E251" s="21" t="s">
        <v>234</v>
      </c>
      <c r="F251" s="20" t="str">
        <f t="shared" si="35"/>
        <v>INTERLACE C4/C9 COUNTERS (CRTC 0, 2)</v>
      </c>
      <c r="G251" s="2"/>
    </row>
    <row r="252" spans="1:7">
      <c r="A252" s="22">
        <f t="shared" si="34"/>
        <v>244</v>
      </c>
      <c r="B252" s="10">
        <f t="shared" si="37"/>
        <v>388</v>
      </c>
      <c r="C252" s="24" t="str">
        <f t="shared" si="38"/>
        <v>0184</v>
      </c>
      <c r="D252" s="2" t="str">
        <f t="shared" si="36"/>
        <v>B1</v>
      </c>
      <c r="E252" s="21" t="s">
        <v>235</v>
      </c>
      <c r="F252" s="20" t="str">
        <f t="shared" si="35"/>
        <v>INTERLACE C4/C9 COUNTERS (CRTC 0, 2)</v>
      </c>
      <c r="G252" s="2"/>
    </row>
    <row r="253" spans="1:7">
      <c r="A253" s="22">
        <f t="shared" si="34"/>
        <v>245</v>
      </c>
      <c r="B253" s="10">
        <f t="shared" si="37"/>
        <v>389</v>
      </c>
      <c r="C253" s="24" t="str">
        <f t="shared" si="38"/>
        <v>0185</v>
      </c>
      <c r="D253" s="2" t="str">
        <f t="shared" si="36"/>
        <v>B1</v>
      </c>
      <c r="E253" s="21" t="s">
        <v>236</v>
      </c>
      <c r="F253" s="20" t="str">
        <f t="shared" si="35"/>
        <v>INTERLACE C4/C9 COUNTERS (CRTC 0, 2)</v>
      </c>
      <c r="G253" s="2"/>
    </row>
    <row r="254" spans="1:7">
      <c r="A254" s="22">
        <f t="shared" si="34"/>
        <v>246</v>
      </c>
      <c r="B254" s="10">
        <f t="shared" si="37"/>
        <v>390</v>
      </c>
      <c r="C254" s="24" t="str">
        <f t="shared" si="38"/>
        <v>0186</v>
      </c>
      <c r="D254" s="2" t="str">
        <f t="shared" si="36"/>
        <v>B1</v>
      </c>
      <c r="E254" s="21" t="s">
        <v>237</v>
      </c>
      <c r="F254" s="20" t="str">
        <f t="shared" si="35"/>
        <v>INTERLACE C4/C9 COUNTERS (CRTC 0, 2)</v>
      </c>
      <c r="G254" s="2"/>
    </row>
    <row r="255" spans="1:7">
      <c r="A255" s="22">
        <f t="shared" si="34"/>
        <v>247</v>
      </c>
      <c r="B255" s="10">
        <f t="shared" si="37"/>
        <v>391</v>
      </c>
      <c r="C255" s="24" t="str">
        <f t="shared" si="38"/>
        <v>0187</v>
      </c>
      <c r="D255" s="2" t="str">
        <f t="shared" si="36"/>
        <v>B1</v>
      </c>
      <c r="E255" s="21" t="s">
        <v>238</v>
      </c>
      <c r="F255" s="20" t="str">
        <f t="shared" si="35"/>
        <v>INTERLACE C4/C9 COUNTERS (CRTC 0, 2)</v>
      </c>
      <c r="G255" s="2"/>
    </row>
    <row r="256" spans="1:7">
      <c r="A256" s="22">
        <f t="shared" si="34"/>
        <v>248</v>
      </c>
      <c r="B256" s="10">
        <f t="shared" si="37"/>
        <v>392</v>
      </c>
      <c r="C256" s="24" t="str">
        <f t="shared" si="38"/>
        <v>0188</v>
      </c>
      <c r="D256" s="2" t="str">
        <f t="shared" si="36"/>
        <v>B1</v>
      </c>
      <c r="E256" s="21" t="s">
        <v>239</v>
      </c>
      <c r="F256" s="20" t="str">
        <f t="shared" si="35"/>
        <v>INTERLACE C4/C9 COUNTERS (CRTC 0, 2)</v>
      </c>
      <c r="G256" s="2"/>
    </row>
    <row r="257" spans="1:7">
      <c r="A257" s="22">
        <f t="shared" si="34"/>
        <v>249</v>
      </c>
      <c r="B257" s="10">
        <f t="shared" si="37"/>
        <v>393</v>
      </c>
      <c r="C257" s="24" t="str">
        <f t="shared" si="38"/>
        <v>0189</v>
      </c>
      <c r="D257" s="2" t="str">
        <f t="shared" si="36"/>
        <v>B1</v>
      </c>
      <c r="E257" s="21" t="s">
        <v>240</v>
      </c>
      <c r="F257" s="20" t="str">
        <f t="shared" si="35"/>
        <v>INTERLACE C4/C9 COUNTERS (CRTC 0, 2)</v>
      </c>
      <c r="G257" s="2"/>
    </row>
    <row r="258" spans="1:7">
      <c r="A258" s="22">
        <f t="shared" si="34"/>
        <v>250</v>
      </c>
      <c r="B258" s="10">
        <f t="shared" si="37"/>
        <v>394</v>
      </c>
      <c r="C258" s="24" t="str">
        <f t="shared" si="38"/>
        <v>018A</v>
      </c>
      <c r="D258" s="2" t="str">
        <f t="shared" si="36"/>
        <v>B1</v>
      </c>
      <c r="E258" s="21" t="s">
        <v>241</v>
      </c>
      <c r="F258" s="20" t="str">
        <f t="shared" si="35"/>
        <v>INTERLACE C4/C9 COUNTERS (CRTC 0, 2)</v>
      </c>
      <c r="G258" s="2"/>
    </row>
    <row r="259" spans="1:7">
      <c r="A259" s="22">
        <f t="shared" si="34"/>
        <v>251</v>
      </c>
      <c r="B259" s="10">
        <f t="shared" si="37"/>
        <v>395</v>
      </c>
      <c r="C259" s="24" t="str">
        <f t="shared" si="38"/>
        <v>018B</v>
      </c>
      <c r="D259" s="2" t="str">
        <f t="shared" si="36"/>
        <v>B1</v>
      </c>
      <c r="E259" s="21" t="s">
        <v>242</v>
      </c>
      <c r="F259" s="20" t="str">
        <f t="shared" si="35"/>
        <v>INTERLACE C4/C9 COUNTERS (CRTC 0, 2)</v>
      </c>
      <c r="G259" s="2"/>
    </row>
    <row r="260" spans="1:7">
      <c r="A260" s="22">
        <f t="shared" si="34"/>
        <v>252</v>
      </c>
      <c r="B260" s="10">
        <f t="shared" si="37"/>
        <v>396</v>
      </c>
      <c r="C260" s="24" t="str">
        <f t="shared" si="38"/>
        <v>018C</v>
      </c>
      <c r="D260" s="2" t="str">
        <f t="shared" si="36"/>
        <v>B1</v>
      </c>
      <c r="E260" s="21" t="s">
        <v>424</v>
      </c>
      <c r="F260" s="20" t="str">
        <f t="shared" si="35"/>
        <v>INTERLACE C4/C9 COUNTERS (CRTC 0, 2)</v>
      </c>
      <c r="G260" s="2"/>
    </row>
    <row r="261" spans="1:7">
      <c r="A261" s="22">
        <f t="shared" si="34"/>
        <v>253</v>
      </c>
      <c r="B261" s="10">
        <f t="shared" si="37"/>
        <v>397</v>
      </c>
      <c r="C261" s="24" t="str">
        <f t="shared" si="38"/>
        <v>018D</v>
      </c>
      <c r="D261" s="2" t="str">
        <f t="shared" si="36"/>
        <v>B1</v>
      </c>
      <c r="E261" s="21" t="s">
        <v>425</v>
      </c>
      <c r="F261" s="20" t="str">
        <f t="shared" si="35"/>
        <v>INTERLACE C4/C9 COUNTERS (CRTC 0, 2)</v>
      </c>
      <c r="G261" s="2"/>
    </row>
    <row r="262" spans="1:7">
      <c r="A262" s="22">
        <f t="shared" si="34"/>
        <v>254</v>
      </c>
      <c r="B262" s="10">
        <f t="shared" si="37"/>
        <v>398</v>
      </c>
      <c r="C262" s="24" t="str">
        <f t="shared" si="38"/>
        <v>018E</v>
      </c>
      <c r="D262" s="2" t="str">
        <f t="shared" si="36"/>
        <v>B1</v>
      </c>
      <c r="E262" s="21" t="s">
        <v>243</v>
      </c>
      <c r="F262" s="20" t="str">
        <f t="shared" si="35"/>
        <v>INTERLACE C4/C9 COUNTERS (CRTC 0, 2)</v>
      </c>
      <c r="G262" s="2"/>
    </row>
    <row r="263" spans="1:7">
      <c r="A263" s="22">
        <f t="shared" si="34"/>
        <v>255</v>
      </c>
      <c r="B263" s="10">
        <f t="shared" si="37"/>
        <v>399</v>
      </c>
      <c r="C263" s="24" t="str">
        <f t="shared" si="38"/>
        <v>018F</v>
      </c>
      <c r="D263" s="2" t="s">
        <v>20</v>
      </c>
      <c r="E263" s="19" t="s">
        <v>1</v>
      </c>
      <c r="F263" s="20" t="s">
        <v>246</v>
      </c>
      <c r="G263" s="2" t="s">
        <v>426</v>
      </c>
    </row>
    <row r="264" spans="1:7">
      <c r="A264" s="22">
        <f t="shared" si="34"/>
        <v>256</v>
      </c>
      <c r="B264" s="10">
        <f t="shared" si="37"/>
        <v>400</v>
      </c>
      <c r="C264" s="24" t="str">
        <f t="shared" si="38"/>
        <v>0190</v>
      </c>
      <c r="D264" s="2" t="str">
        <f>D263</f>
        <v>B2</v>
      </c>
      <c r="E264" s="2" t="s">
        <v>2</v>
      </c>
      <c r="F264" s="20" t="str">
        <f>F263</f>
        <v>CRTC 2 STRANGER THING INTERLACE</v>
      </c>
      <c r="G264" s="2" t="s">
        <v>426</v>
      </c>
    </row>
    <row r="265" spans="1:7">
      <c r="A265" s="22">
        <f t="shared" si="34"/>
        <v>257</v>
      </c>
      <c r="B265" s="10">
        <f t="shared" si="37"/>
        <v>401</v>
      </c>
      <c r="C265" s="24" t="str">
        <f t="shared" si="38"/>
        <v>0191</v>
      </c>
      <c r="D265" s="2" t="str">
        <f>D264</f>
        <v>B2</v>
      </c>
      <c r="E265" s="2" t="s">
        <v>30</v>
      </c>
      <c r="F265" s="20" t="str">
        <f>F264</f>
        <v>CRTC 2 STRANGER THING INTERLACE</v>
      </c>
      <c r="G265" s="2" t="s">
        <v>427</v>
      </c>
    </row>
    <row r="266" spans="1:7">
      <c r="A266" s="22">
        <f t="shared" ref="A266:A329" si="39">A265+1</f>
        <v>258</v>
      </c>
      <c r="B266" s="10">
        <f t="shared" si="37"/>
        <v>402</v>
      </c>
      <c r="C266" s="24" t="str">
        <f t="shared" si="38"/>
        <v>0192</v>
      </c>
      <c r="D266" s="2" t="s">
        <v>21</v>
      </c>
      <c r="E266" s="2" t="s">
        <v>1</v>
      </c>
      <c r="F266" s="20" t="s">
        <v>247</v>
      </c>
      <c r="G266" s="2"/>
    </row>
    <row r="267" spans="1:7">
      <c r="A267" s="22">
        <f t="shared" si="39"/>
        <v>259</v>
      </c>
      <c r="B267" s="10">
        <f t="shared" si="37"/>
        <v>403</v>
      </c>
      <c r="C267" s="24" t="str">
        <f t="shared" si="38"/>
        <v>0193</v>
      </c>
      <c r="D267" s="2" t="str">
        <f>D266</f>
        <v>B4</v>
      </c>
      <c r="E267" s="2" t="s">
        <v>2</v>
      </c>
      <c r="F267" s="20" t="str">
        <f>F266</f>
        <v>FIND C0 MIN (CRTC 2 NOT EXCLUSIVE)</v>
      </c>
      <c r="G267" s="2"/>
    </row>
    <row r="268" spans="1:7">
      <c r="A268" s="22">
        <f t="shared" si="39"/>
        <v>260</v>
      </c>
      <c r="B268" s="10">
        <f t="shared" si="37"/>
        <v>404</v>
      </c>
      <c r="C268" s="24" t="str">
        <f t="shared" si="38"/>
        <v>0194</v>
      </c>
      <c r="D268" s="2" t="str">
        <f t="shared" ref="D268:D274" si="40">D267</f>
        <v>B4</v>
      </c>
      <c r="E268" s="19" t="s">
        <v>30</v>
      </c>
      <c r="F268" s="20" t="str">
        <f t="shared" ref="F268:F274" si="41">F267</f>
        <v>FIND C0 MIN (CRTC 2 NOT EXCLUSIVE)</v>
      </c>
      <c r="G268" s="2"/>
    </row>
    <row r="269" spans="1:7">
      <c r="A269" s="22">
        <f t="shared" si="39"/>
        <v>261</v>
      </c>
      <c r="B269" s="10">
        <f t="shared" si="37"/>
        <v>405</v>
      </c>
      <c r="C269" s="24" t="str">
        <f t="shared" si="38"/>
        <v>0195</v>
      </c>
      <c r="D269" s="2" t="str">
        <f t="shared" si="40"/>
        <v>B4</v>
      </c>
      <c r="E269" s="2" t="s">
        <v>31</v>
      </c>
      <c r="F269" s="20" t="str">
        <f t="shared" si="41"/>
        <v>FIND C0 MIN (CRTC 2 NOT EXCLUSIVE)</v>
      </c>
      <c r="G269" s="2"/>
    </row>
    <row r="270" spans="1:7">
      <c r="A270" s="22">
        <f t="shared" si="39"/>
        <v>262</v>
      </c>
      <c r="B270" s="10">
        <f t="shared" si="37"/>
        <v>406</v>
      </c>
      <c r="C270" s="24" t="str">
        <f t="shared" si="38"/>
        <v>0196</v>
      </c>
      <c r="D270" s="2" t="str">
        <f t="shared" si="40"/>
        <v>B4</v>
      </c>
      <c r="E270" s="2" t="s">
        <v>32</v>
      </c>
      <c r="F270" s="20" t="str">
        <f t="shared" si="41"/>
        <v>FIND C0 MIN (CRTC 2 NOT EXCLUSIVE)</v>
      </c>
      <c r="G270" s="2"/>
    </row>
    <row r="271" spans="1:7">
      <c r="A271" s="22">
        <f t="shared" si="39"/>
        <v>263</v>
      </c>
      <c r="B271" s="10">
        <f t="shared" si="37"/>
        <v>407</v>
      </c>
      <c r="C271" s="24" t="str">
        <f t="shared" si="38"/>
        <v>0197</v>
      </c>
      <c r="D271" s="2" t="str">
        <f t="shared" si="40"/>
        <v>B4</v>
      </c>
      <c r="E271" s="2" t="s">
        <v>33</v>
      </c>
      <c r="F271" s="20" t="str">
        <f t="shared" si="41"/>
        <v>FIND C0 MIN (CRTC 2 NOT EXCLUSIVE)</v>
      </c>
      <c r="G271" s="2"/>
    </row>
    <row r="272" spans="1:7">
      <c r="A272" s="22">
        <f t="shared" si="39"/>
        <v>264</v>
      </c>
      <c r="B272" s="10">
        <f t="shared" si="37"/>
        <v>408</v>
      </c>
      <c r="C272" s="24" t="str">
        <f t="shared" si="38"/>
        <v>0198</v>
      </c>
      <c r="D272" s="2" t="str">
        <f t="shared" si="40"/>
        <v>B4</v>
      </c>
      <c r="E272" s="2" t="s">
        <v>106</v>
      </c>
      <c r="F272" s="20" t="str">
        <f t="shared" si="41"/>
        <v>FIND C0 MIN (CRTC 2 NOT EXCLUSIVE)</v>
      </c>
      <c r="G272" s="2"/>
    </row>
    <row r="273" spans="1:7">
      <c r="A273" s="22">
        <f t="shared" si="39"/>
        <v>265</v>
      </c>
      <c r="B273" s="10">
        <f t="shared" si="37"/>
        <v>409</v>
      </c>
      <c r="C273" s="24" t="str">
        <f t="shared" si="38"/>
        <v>0199</v>
      </c>
      <c r="D273" s="2" t="str">
        <f t="shared" si="40"/>
        <v>B4</v>
      </c>
      <c r="E273" s="2" t="s">
        <v>107</v>
      </c>
      <c r="F273" s="20" t="str">
        <f t="shared" si="41"/>
        <v>FIND C0 MIN (CRTC 2 NOT EXCLUSIVE)</v>
      </c>
      <c r="G273" s="2"/>
    </row>
    <row r="274" spans="1:7">
      <c r="A274" s="22">
        <f t="shared" si="39"/>
        <v>266</v>
      </c>
      <c r="B274" s="10">
        <f t="shared" si="37"/>
        <v>410</v>
      </c>
      <c r="C274" s="24" t="str">
        <f t="shared" si="38"/>
        <v>019A</v>
      </c>
      <c r="D274" s="2" t="str">
        <f t="shared" si="40"/>
        <v>B4</v>
      </c>
      <c r="E274" s="2" t="s">
        <v>108</v>
      </c>
      <c r="F274" s="20" t="str">
        <f t="shared" si="41"/>
        <v>FIND C0 MIN (CRTC 2 NOT EXCLUSIVE)</v>
      </c>
      <c r="G274" s="2"/>
    </row>
    <row r="275" spans="1:7">
      <c r="A275" s="22">
        <f t="shared" si="39"/>
        <v>267</v>
      </c>
      <c r="B275" s="10">
        <f t="shared" si="37"/>
        <v>411</v>
      </c>
      <c r="C275" s="24" t="str">
        <f t="shared" si="38"/>
        <v>019B</v>
      </c>
      <c r="D275" s="2" t="s">
        <v>22</v>
      </c>
      <c r="E275" s="2" t="s">
        <v>29</v>
      </c>
      <c r="F275" s="20" t="s">
        <v>248</v>
      </c>
      <c r="G275" s="2"/>
    </row>
    <row r="276" spans="1:7">
      <c r="A276" s="22">
        <f t="shared" si="39"/>
        <v>268</v>
      </c>
      <c r="B276" s="10">
        <f t="shared" si="37"/>
        <v>412</v>
      </c>
      <c r="C276" s="24" t="str">
        <f t="shared" si="38"/>
        <v>019C</v>
      </c>
      <c r="D276" s="2" t="s">
        <v>22</v>
      </c>
      <c r="E276" s="2" t="s">
        <v>30</v>
      </c>
      <c r="F276" s="20" t="s">
        <v>248</v>
      </c>
      <c r="G276" s="2"/>
    </row>
    <row r="277" spans="1:7">
      <c r="A277" s="22">
        <f t="shared" si="39"/>
        <v>269</v>
      </c>
      <c r="B277" s="10">
        <f t="shared" si="37"/>
        <v>413</v>
      </c>
      <c r="C277" s="24" t="str">
        <f t="shared" si="38"/>
        <v>019D</v>
      </c>
      <c r="D277" s="2" t="s">
        <v>23</v>
      </c>
      <c r="E277" s="2" t="s">
        <v>29</v>
      </c>
      <c r="F277" s="20" t="s">
        <v>250</v>
      </c>
      <c r="G277" s="2"/>
    </row>
    <row r="278" spans="1:7">
      <c r="A278" s="22">
        <f t="shared" si="39"/>
        <v>270</v>
      </c>
      <c r="B278" s="10">
        <f t="shared" si="37"/>
        <v>414</v>
      </c>
      <c r="C278" s="24" t="str">
        <f t="shared" ref="C278:C332" si="42">DEC2HEX(B278,4)</f>
        <v>019E</v>
      </c>
      <c r="D278" s="2" t="s">
        <v>24</v>
      </c>
      <c r="E278" s="2" t="s">
        <v>29</v>
      </c>
      <c r="F278" s="20" t="s">
        <v>251</v>
      </c>
      <c r="G278" s="2"/>
    </row>
    <row r="279" spans="1:7">
      <c r="A279" s="22">
        <f t="shared" si="39"/>
        <v>271</v>
      </c>
      <c r="B279" s="10">
        <f t="shared" si="37"/>
        <v>415</v>
      </c>
      <c r="C279" s="24" t="str">
        <f t="shared" si="42"/>
        <v>019F</v>
      </c>
      <c r="D279" s="2" t="str">
        <f>D278</f>
        <v>B7</v>
      </c>
      <c r="E279" s="2" t="s">
        <v>19</v>
      </c>
      <c r="F279" s="20" t="str">
        <f>F278</f>
        <v>CRTC 0 : BUG OVF C4</v>
      </c>
      <c r="G279" s="2"/>
    </row>
    <row r="280" spans="1:7">
      <c r="A280" s="22">
        <f t="shared" si="39"/>
        <v>272</v>
      </c>
      <c r="B280" s="10">
        <f>B279+5</f>
        <v>420</v>
      </c>
      <c r="C280" s="24" t="str">
        <f t="shared" si="42"/>
        <v>01A4</v>
      </c>
      <c r="D280" s="2" t="str">
        <f t="shared" ref="D280:D302" si="43">D279</f>
        <v>B7</v>
      </c>
      <c r="E280" s="2" t="s">
        <v>20</v>
      </c>
      <c r="F280" s="20" t="str">
        <f t="shared" ref="F280:F302" si="44">F279</f>
        <v>CRTC 0 : BUG OVF C4</v>
      </c>
      <c r="G280" s="2"/>
    </row>
    <row r="281" spans="1:7">
      <c r="A281" s="22">
        <f t="shared" si="39"/>
        <v>273</v>
      </c>
      <c r="B281" s="10">
        <f t="shared" si="37"/>
        <v>421</v>
      </c>
      <c r="C281" s="24" t="str">
        <f t="shared" si="42"/>
        <v>01A5</v>
      </c>
      <c r="D281" s="2" t="str">
        <f t="shared" si="43"/>
        <v>B7</v>
      </c>
      <c r="E281" s="2" t="s">
        <v>43</v>
      </c>
      <c r="F281" s="20" t="str">
        <f t="shared" si="44"/>
        <v>CRTC 0 : BUG OVF C4</v>
      </c>
      <c r="G281" s="2"/>
    </row>
    <row r="282" spans="1:7">
      <c r="A282" s="22">
        <f t="shared" si="39"/>
        <v>274</v>
      </c>
      <c r="B282" s="10">
        <f>B281+1</f>
        <v>422</v>
      </c>
      <c r="C282" s="24" t="str">
        <f t="shared" si="42"/>
        <v>01A6</v>
      </c>
      <c r="D282" s="2" t="str">
        <f t="shared" si="43"/>
        <v>B7</v>
      </c>
      <c r="E282" s="2" t="s">
        <v>44</v>
      </c>
      <c r="F282" s="20" t="str">
        <f t="shared" si="44"/>
        <v>CRTC 0 : BUG OVF C4</v>
      </c>
      <c r="G282" s="2"/>
    </row>
    <row r="283" spans="1:7">
      <c r="A283" s="22">
        <f t="shared" si="39"/>
        <v>275</v>
      </c>
      <c r="B283" s="10">
        <f>B282+1</f>
        <v>423</v>
      </c>
      <c r="C283" s="24" t="str">
        <f t="shared" si="42"/>
        <v>01A7</v>
      </c>
      <c r="D283" s="2" t="str">
        <f t="shared" si="43"/>
        <v>B7</v>
      </c>
      <c r="E283" s="2" t="s">
        <v>45</v>
      </c>
      <c r="F283" s="20" t="str">
        <f t="shared" si="44"/>
        <v>CRTC 0 : BUG OVF C4</v>
      </c>
      <c r="G283" s="2"/>
    </row>
    <row r="284" spans="1:7">
      <c r="A284" s="22">
        <f t="shared" si="39"/>
        <v>276</v>
      </c>
      <c r="B284" s="10">
        <f>B283+5</f>
        <v>428</v>
      </c>
      <c r="C284" s="24" t="str">
        <f t="shared" si="42"/>
        <v>01AC</v>
      </c>
      <c r="D284" s="2" t="str">
        <f t="shared" si="43"/>
        <v>B7</v>
      </c>
      <c r="E284" s="2" t="s">
        <v>46</v>
      </c>
      <c r="F284" s="20" t="str">
        <f t="shared" si="44"/>
        <v>CRTC 0 : BUG OVF C4</v>
      </c>
      <c r="G284" s="2"/>
    </row>
    <row r="285" spans="1:7">
      <c r="A285" s="22">
        <f t="shared" si="39"/>
        <v>277</v>
      </c>
      <c r="B285" s="10">
        <f t="shared" ref="B285" si="45">B284+1</f>
        <v>429</v>
      </c>
      <c r="C285" s="24" t="str">
        <f t="shared" si="42"/>
        <v>01AD</v>
      </c>
      <c r="D285" s="2" t="str">
        <f t="shared" si="43"/>
        <v>B7</v>
      </c>
      <c r="E285" s="2" t="s">
        <v>33</v>
      </c>
      <c r="F285" s="20" t="str">
        <f t="shared" si="44"/>
        <v>CRTC 0 : BUG OVF C4</v>
      </c>
      <c r="G285" s="2"/>
    </row>
    <row r="286" spans="1:7">
      <c r="A286" s="22">
        <f t="shared" si="39"/>
        <v>278</v>
      </c>
      <c r="B286" s="10">
        <f>B285+1</f>
        <v>430</v>
      </c>
      <c r="C286" s="24" t="str">
        <f t="shared" si="42"/>
        <v>01AE</v>
      </c>
      <c r="D286" s="2" t="str">
        <f t="shared" si="43"/>
        <v>B7</v>
      </c>
      <c r="E286" s="2" t="s">
        <v>49</v>
      </c>
      <c r="F286" s="20" t="str">
        <f t="shared" si="44"/>
        <v>CRTC 0 : BUG OVF C4</v>
      </c>
      <c r="G286" s="2"/>
    </row>
    <row r="287" spans="1:7">
      <c r="A287" s="22">
        <f t="shared" si="39"/>
        <v>279</v>
      </c>
      <c r="B287" s="10">
        <f>B286+1</f>
        <v>431</v>
      </c>
      <c r="C287" s="24" t="str">
        <f t="shared" si="42"/>
        <v>01AF</v>
      </c>
      <c r="D287" s="2" t="str">
        <f t="shared" si="43"/>
        <v>B7</v>
      </c>
      <c r="E287" s="2" t="s">
        <v>50</v>
      </c>
      <c r="F287" s="20" t="str">
        <f t="shared" si="44"/>
        <v>CRTC 0 : BUG OVF C4</v>
      </c>
      <c r="G287" s="2"/>
    </row>
    <row r="288" spans="1:7">
      <c r="A288" s="22">
        <f t="shared" si="39"/>
        <v>280</v>
      </c>
      <c r="B288" s="10">
        <f>B287+5</f>
        <v>436</v>
      </c>
      <c r="C288" s="24" t="str">
        <f t="shared" si="42"/>
        <v>01B4</v>
      </c>
      <c r="D288" s="2" t="str">
        <f t="shared" si="43"/>
        <v>B7</v>
      </c>
      <c r="E288" s="2" t="s">
        <v>51</v>
      </c>
      <c r="F288" s="20" t="str">
        <f t="shared" si="44"/>
        <v>CRTC 0 : BUG OVF C4</v>
      </c>
      <c r="G288" s="2"/>
    </row>
    <row r="289" spans="1:7">
      <c r="A289" s="22">
        <f t="shared" si="39"/>
        <v>281</v>
      </c>
      <c r="B289" s="10">
        <f t="shared" ref="B289" si="46">B288+1</f>
        <v>437</v>
      </c>
      <c r="C289" s="24" t="str">
        <f t="shared" si="42"/>
        <v>01B5</v>
      </c>
      <c r="D289" s="2" t="str">
        <f t="shared" si="43"/>
        <v>B7</v>
      </c>
      <c r="E289" s="2" t="s">
        <v>52</v>
      </c>
      <c r="F289" s="20" t="str">
        <f t="shared" si="44"/>
        <v>CRTC 0 : BUG OVF C4</v>
      </c>
      <c r="G289" s="2"/>
    </row>
    <row r="290" spans="1:7">
      <c r="A290" s="22">
        <f t="shared" si="39"/>
        <v>282</v>
      </c>
      <c r="B290" s="10">
        <f>B289+1</f>
        <v>438</v>
      </c>
      <c r="C290" s="24" t="str">
        <f t="shared" si="42"/>
        <v>01B6</v>
      </c>
      <c r="D290" s="2" t="str">
        <f t="shared" si="43"/>
        <v>B7</v>
      </c>
      <c r="E290" s="2" t="s">
        <v>53</v>
      </c>
      <c r="F290" s="20" t="str">
        <f t="shared" si="44"/>
        <v>CRTC 0 : BUG OVF C4</v>
      </c>
      <c r="G290" s="2"/>
    </row>
    <row r="291" spans="1:7">
      <c r="A291" s="22">
        <f t="shared" si="39"/>
        <v>283</v>
      </c>
      <c r="B291" s="10">
        <f>B290+1</f>
        <v>439</v>
      </c>
      <c r="C291" s="24" t="str">
        <f t="shared" si="42"/>
        <v>01B7</v>
      </c>
      <c r="D291" s="2" t="str">
        <f t="shared" si="43"/>
        <v>B7</v>
      </c>
      <c r="E291" s="2" t="s">
        <v>54</v>
      </c>
      <c r="F291" s="20" t="str">
        <f t="shared" si="44"/>
        <v>CRTC 0 : BUG OVF C4</v>
      </c>
      <c r="G291" s="2"/>
    </row>
    <row r="292" spans="1:7">
      <c r="A292" s="22">
        <f t="shared" si="39"/>
        <v>284</v>
      </c>
      <c r="B292" s="10">
        <f>B291+5</f>
        <v>444</v>
      </c>
      <c r="C292" s="24" t="str">
        <f t="shared" si="42"/>
        <v>01BC</v>
      </c>
      <c r="D292" s="2" t="str">
        <f t="shared" si="43"/>
        <v>B7</v>
      </c>
      <c r="E292" s="2" t="s">
        <v>109</v>
      </c>
      <c r="F292" s="20" t="str">
        <f t="shared" si="44"/>
        <v>CRTC 0 : BUG OVF C4</v>
      </c>
      <c r="G292" s="2"/>
    </row>
    <row r="293" spans="1:7">
      <c r="A293" s="22">
        <f t="shared" si="39"/>
        <v>285</v>
      </c>
      <c r="B293" s="10">
        <f t="shared" ref="B293:B298" si="47">B292+1</f>
        <v>445</v>
      </c>
      <c r="C293" s="24" t="str">
        <f t="shared" si="42"/>
        <v>01BD</v>
      </c>
      <c r="D293" s="2" t="str">
        <f t="shared" si="43"/>
        <v>B7</v>
      </c>
      <c r="E293" s="2" t="s">
        <v>57</v>
      </c>
      <c r="F293" s="20" t="str">
        <f t="shared" si="44"/>
        <v>CRTC 0 : BUG OVF C4</v>
      </c>
      <c r="G293" s="2"/>
    </row>
    <row r="294" spans="1:7">
      <c r="A294" s="22">
        <f t="shared" si="39"/>
        <v>286</v>
      </c>
      <c r="B294" s="10">
        <f t="shared" si="47"/>
        <v>446</v>
      </c>
      <c r="C294" s="24" t="str">
        <f t="shared" si="42"/>
        <v>01BE</v>
      </c>
      <c r="D294" s="2" t="str">
        <f t="shared" si="43"/>
        <v>B7</v>
      </c>
      <c r="E294" s="2" t="s">
        <v>58</v>
      </c>
      <c r="F294" s="20" t="str">
        <f t="shared" si="44"/>
        <v>CRTC 0 : BUG OVF C4</v>
      </c>
      <c r="G294" s="2"/>
    </row>
    <row r="295" spans="1:7">
      <c r="A295" s="22">
        <f t="shared" si="39"/>
        <v>287</v>
      </c>
      <c r="B295" s="10">
        <f t="shared" si="47"/>
        <v>447</v>
      </c>
      <c r="C295" s="24" t="str">
        <f t="shared" si="42"/>
        <v>01BF</v>
      </c>
      <c r="D295" s="2" t="str">
        <f t="shared" si="43"/>
        <v>B7</v>
      </c>
      <c r="E295" s="2" t="s">
        <v>59</v>
      </c>
      <c r="F295" s="20" t="str">
        <f t="shared" si="44"/>
        <v>CRTC 0 : BUG OVF C4</v>
      </c>
      <c r="G295" s="2"/>
    </row>
    <row r="296" spans="1:7">
      <c r="A296" s="22">
        <f t="shared" si="39"/>
        <v>288</v>
      </c>
      <c r="B296" s="10">
        <f t="shared" si="47"/>
        <v>448</v>
      </c>
      <c r="C296" s="24" t="str">
        <f t="shared" si="42"/>
        <v>01C0</v>
      </c>
      <c r="D296" s="2" t="str">
        <f t="shared" si="43"/>
        <v>B7</v>
      </c>
      <c r="E296" s="2" t="s">
        <v>60</v>
      </c>
      <c r="F296" s="20" t="str">
        <f t="shared" si="44"/>
        <v>CRTC 0 : BUG OVF C4</v>
      </c>
      <c r="G296" s="2"/>
    </row>
    <row r="297" spans="1:7">
      <c r="A297" s="22">
        <f t="shared" si="39"/>
        <v>289</v>
      </c>
      <c r="B297" s="10">
        <f t="shared" si="47"/>
        <v>449</v>
      </c>
      <c r="C297" s="24" t="str">
        <f t="shared" si="42"/>
        <v>01C1</v>
      </c>
      <c r="D297" s="2" t="str">
        <f t="shared" si="43"/>
        <v>B7</v>
      </c>
      <c r="E297" s="2" t="s">
        <v>284</v>
      </c>
      <c r="F297" s="20" t="str">
        <f t="shared" si="44"/>
        <v>CRTC 0 : BUG OVF C4</v>
      </c>
      <c r="G297" s="2"/>
    </row>
    <row r="298" spans="1:7">
      <c r="A298" s="22">
        <f t="shared" si="39"/>
        <v>290</v>
      </c>
      <c r="B298" s="10">
        <f t="shared" si="47"/>
        <v>450</v>
      </c>
      <c r="C298" s="24" t="str">
        <f t="shared" si="42"/>
        <v>01C2</v>
      </c>
      <c r="D298" s="2" t="str">
        <f t="shared" si="43"/>
        <v>B7</v>
      </c>
      <c r="E298" s="2" t="s">
        <v>285</v>
      </c>
      <c r="F298" s="20" t="str">
        <f t="shared" si="44"/>
        <v>CRTC 0 : BUG OVF C4</v>
      </c>
      <c r="G298" s="2"/>
    </row>
    <row r="299" spans="1:7">
      <c r="A299" s="22">
        <f t="shared" si="39"/>
        <v>291</v>
      </c>
      <c r="B299" s="10">
        <f t="shared" ref="B299:B361" si="48">B298+1</f>
        <v>451</v>
      </c>
      <c r="C299" s="24" t="str">
        <f t="shared" si="42"/>
        <v>01C3</v>
      </c>
      <c r="D299" s="2" t="str">
        <f t="shared" si="43"/>
        <v>B7</v>
      </c>
      <c r="E299" s="2" t="s">
        <v>65</v>
      </c>
      <c r="F299" s="20" t="str">
        <f t="shared" si="44"/>
        <v>CRTC 0 : BUG OVF C4</v>
      </c>
      <c r="G299" s="2"/>
    </row>
    <row r="300" spans="1:7">
      <c r="A300" s="22">
        <f t="shared" si="39"/>
        <v>292</v>
      </c>
      <c r="B300" s="10">
        <f t="shared" si="48"/>
        <v>452</v>
      </c>
      <c r="C300" s="24" t="str">
        <f t="shared" si="42"/>
        <v>01C4</v>
      </c>
      <c r="D300" s="2" t="str">
        <f t="shared" si="43"/>
        <v>B7</v>
      </c>
      <c r="E300" s="2" t="s">
        <v>66</v>
      </c>
      <c r="F300" s="20" t="str">
        <f t="shared" si="44"/>
        <v>CRTC 0 : BUG OVF C4</v>
      </c>
      <c r="G300" s="2"/>
    </row>
    <row r="301" spans="1:7">
      <c r="A301" s="22">
        <f t="shared" si="39"/>
        <v>293</v>
      </c>
      <c r="B301" s="10">
        <f t="shared" si="48"/>
        <v>453</v>
      </c>
      <c r="C301" s="24" t="str">
        <f t="shared" si="42"/>
        <v>01C5</v>
      </c>
      <c r="D301" s="2" t="str">
        <f t="shared" si="43"/>
        <v>B7</v>
      </c>
      <c r="E301" s="2" t="s">
        <v>67</v>
      </c>
      <c r="F301" s="20" t="str">
        <f t="shared" si="44"/>
        <v>CRTC 0 : BUG OVF C4</v>
      </c>
      <c r="G301" s="2"/>
    </row>
    <row r="302" spans="1:7">
      <c r="A302" s="22">
        <f t="shared" si="39"/>
        <v>294</v>
      </c>
      <c r="B302" s="10">
        <f t="shared" si="48"/>
        <v>454</v>
      </c>
      <c r="C302" s="24" t="str">
        <f t="shared" si="42"/>
        <v>01C6</v>
      </c>
      <c r="D302" s="2" t="str">
        <f t="shared" si="43"/>
        <v>B7</v>
      </c>
      <c r="E302" s="2" t="s">
        <v>68</v>
      </c>
      <c r="F302" s="20" t="str">
        <f t="shared" si="44"/>
        <v>CRTC 0 : BUG OVF C4</v>
      </c>
      <c r="G302" s="2"/>
    </row>
    <row r="303" spans="1:7">
      <c r="A303" s="22">
        <f t="shared" si="39"/>
        <v>295</v>
      </c>
      <c r="B303" s="10">
        <f t="shared" si="48"/>
        <v>455</v>
      </c>
      <c r="C303" s="24" t="str">
        <f t="shared" si="42"/>
        <v>01C7</v>
      </c>
      <c r="D303" s="2" t="s">
        <v>25</v>
      </c>
      <c r="E303" s="2" t="s">
        <v>29</v>
      </c>
      <c r="F303" s="20" t="s">
        <v>252</v>
      </c>
      <c r="G303" s="2"/>
    </row>
    <row r="304" spans="1:7">
      <c r="A304" s="22">
        <f t="shared" si="39"/>
        <v>296</v>
      </c>
      <c r="B304" s="10">
        <f t="shared" si="48"/>
        <v>456</v>
      </c>
      <c r="C304" s="24" t="str">
        <f t="shared" si="42"/>
        <v>01C8</v>
      </c>
      <c r="D304" s="2" t="str">
        <f>D303</f>
        <v>B9</v>
      </c>
      <c r="E304" s="2" t="s">
        <v>30</v>
      </c>
      <c r="F304" s="20" t="str">
        <f>F303</f>
        <v>INTERLACE IVM DELAYS</v>
      </c>
      <c r="G304" s="2"/>
    </row>
    <row r="305" spans="1:7">
      <c r="A305" s="22">
        <f t="shared" si="39"/>
        <v>297</v>
      </c>
      <c r="B305" s="10">
        <f t="shared" si="48"/>
        <v>457</v>
      </c>
      <c r="C305" s="24" t="str">
        <f t="shared" si="42"/>
        <v>01C9</v>
      </c>
      <c r="D305" s="2" t="str">
        <f>D304</f>
        <v>B9</v>
      </c>
      <c r="E305" s="2" t="s">
        <v>31</v>
      </c>
      <c r="F305" s="20" t="str">
        <f t="shared" ref="F305:F306" si="49">F304</f>
        <v>INTERLACE IVM DELAYS</v>
      </c>
      <c r="G305" s="2"/>
    </row>
    <row r="306" spans="1:7">
      <c r="A306" s="22">
        <f t="shared" si="39"/>
        <v>298</v>
      </c>
      <c r="B306" s="10">
        <f t="shared" si="48"/>
        <v>458</v>
      </c>
      <c r="C306" s="24" t="str">
        <f t="shared" si="42"/>
        <v>01CA</v>
      </c>
      <c r="D306" s="2" t="str">
        <f>D305</f>
        <v>B9</v>
      </c>
      <c r="E306" s="2" t="s">
        <v>32</v>
      </c>
      <c r="F306" s="20" t="str">
        <f t="shared" si="49"/>
        <v>INTERLACE IVM DELAYS</v>
      </c>
      <c r="G306" s="2"/>
    </row>
    <row r="307" spans="1:7">
      <c r="A307" s="22">
        <f t="shared" si="39"/>
        <v>299</v>
      </c>
      <c r="B307" s="10">
        <f t="shared" si="48"/>
        <v>459</v>
      </c>
      <c r="C307" s="24" t="str">
        <f t="shared" si="42"/>
        <v>01CB</v>
      </c>
      <c r="D307" s="2" t="s">
        <v>26</v>
      </c>
      <c r="E307" s="2" t="s">
        <v>352</v>
      </c>
      <c r="F307" s="20" t="s">
        <v>253</v>
      </c>
      <c r="G307" s="2"/>
    </row>
    <row r="308" spans="1:7">
      <c r="A308" s="22">
        <f t="shared" si="39"/>
        <v>300</v>
      </c>
      <c r="B308" s="10">
        <f t="shared" si="48"/>
        <v>460</v>
      </c>
      <c r="C308" s="24" t="str">
        <f t="shared" si="42"/>
        <v>01CC</v>
      </c>
      <c r="D308" s="2" t="str">
        <f>D307</f>
        <v>BCAPS</v>
      </c>
      <c r="E308" s="2" t="s">
        <v>2</v>
      </c>
      <c r="F308" s="20" t="str">
        <f>F307</f>
        <v>RVNI LTD (NON INVISIBLE VERTICAL RUPTURE)</v>
      </c>
      <c r="G308" s="2"/>
    </row>
    <row r="309" spans="1:7">
      <c r="A309" s="22">
        <f t="shared" si="39"/>
        <v>301</v>
      </c>
      <c r="B309" s="10">
        <f t="shared" si="48"/>
        <v>461</v>
      </c>
      <c r="C309" s="24" t="str">
        <f t="shared" si="42"/>
        <v>01CD</v>
      </c>
      <c r="D309" s="2" t="str">
        <f t="shared" ref="D309:D315" si="50">D308</f>
        <v>BCAPS</v>
      </c>
      <c r="E309" s="2" t="s">
        <v>3</v>
      </c>
      <c r="F309" s="20" t="str">
        <f t="shared" ref="F309:F315" si="51">F308</f>
        <v>RVNI LTD (NON INVISIBLE VERTICAL RUPTURE)</v>
      </c>
      <c r="G309" s="2"/>
    </row>
    <row r="310" spans="1:7">
      <c r="A310" s="22">
        <f t="shared" si="39"/>
        <v>302</v>
      </c>
      <c r="B310" s="10">
        <f t="shared" si="48"/>
        <v>462</v>
      </c>
      <c r="C310" s="24" t="str">
        <f t="shared" si="42"/>
        <v>01CE</v>
      </c>
      <c r="D310" s="2" t="str">
        <f t="shared" si="50"/>
        <v>BCAPS</v>
      </c>
      <c r="E310" s="2" t="s">
        <v>4</v>
      </c>
      <c r="F310" s="20" t="str">
        <f t="shared" si="51"/>
        <v>RVNI LTD (NON INVISIBLE VERTICAL RUPTURE)</v>
      </c>
      <c r="G310" s="2"/>
    </row>
    <row r="311" spans="1:7">
      <c r="A311" s="22">
        <f t="shared" si="39"/>
        <v>303</v>
      </c>
      <c r="B311" s="10">
        <f t="shared" si="48"/>
        <v>463</v>
      </c>
      <c r="C311" s="24" t="str">
        <f t="shared" si="42"/>
        <v>01CF</v>
      </c>
      <c r="D311" s="2" t="str">
        <f t="shared" si="50"/>
        <v>BCAPS</v>
      </c>
      <c r="E311" s="2" t="s">
        <v>353</v>
      </c>
      <c r="F311" s="20" t="str">
        <f t="shared" si="51"/>
        <v>RVNI LTD (NON INVISIBLE VERTICAL RUPTURE)</v>
      </c>
      <c r="G311" s="2"/>
    </row>
    <row r="312" spans="1:7">
      <c r="A312" s="22">
        <f t="shared" si="39"/>
        <v>304</v>
      </c>
      <c r="B312" s="10">
        <f t="shared" si="48"/>
        <v>464</v>
      </c>
      <c r="C312" s="24" t="str">
        <f t="shared" si="42"/>
        <v>01D0</v>
      </c>
      <c r="D312" s="2" t="str">
        <f t="shared" si="50"/>
        <v>BCAPS</v>
      </c>
      <c r="E312" s="2" t="s">
        <v>20</v>
      </c>
      <c r="F312" s="20" t="str">
        <f t="shared" si="51"/>
        <v>RVNI LTD (NON INVISIBLE VERTICAL RUPTURE)</v>
      </c>
      <c r="G312" s="2"/>
    </row>
    <row r="313" spans="1:7">
      <c r="A313" s="22">
        <f t="shared" si="39"/>
        <v>305</v>
      </c>
      <c r="B313" s="10">
        <f t="shared" si="48"/>
        <v>465</v>
      </c>
      <c r="C313" s="24" t="str">
        <f t="shared" si="42"/>
        <v>01D1</v>
      </c>
      <c r="D313" s="2" t="str">
        <f t="shared" si="50"/>
        <v>BCAPS</v>
      </c>
      <c r="E313" s="2" t="s">
        <v>42</v>
      </c>
      <c r="F313" s="20" t="str">
        <f t="shared" si="51"/>
        <v>RVNI LTD (NON INVISIBLE VERTICAL RUPTURE)</v>
      </c>
      <c r="G313" s="2"/>
    </row>
    <row r="314" spans="1:7">
      <c r="A314" s="22">
        <f t="shared" si="39"/>
        <v>306</v>
      </c>
      <c r="B314" s="10">
        <f t="shared" si="48"/>
        <v>466</v>
      </c>
      <c r="C314" s="24" t="str">
        <f t="shared" si="42"/>
        <v>01D2</v>
      </c>
      <c r="D314" s="2" t="str">
        <f t="shared" si="50"/>
        <v>BCAPS</v>
      </c>
      <c r="E314" s="2" t="s">
        <v>21</v>
      </c>
      <c r="F314" s="20" t="str">
        <f t="shared" si="51"/>
        <v>RVNI LTD (NON INVISIBLE VERTICAL RUPTURE)</v>
      </c>
      <c r="G314" s="2"/>
    </row>
    <row r="315" spans="1:7">
      <c r="A315" s="22">
        <f t="shared" si="39"/>
        <v>307</v>
      </c>
      <c r="B315" s="10">
        <f t="shared" si="48"/>
        <v>467</v>
      </c>
      <c r="C315" s="24" t="str">
        <f t="shared" si="42"/>
        <v>01D3</v>
      </c>
      <c r="D315" s="2" t="str">
        <f t="shared" si="50"/>
        <v>BCAPS</v>
      </c>
      <c r="E315" s="2" t="s">
        <v>31</v>
      </c>
      <c r="F315" s="20" t="str">
        <f t="shared" si="51"/>
        <v>RVNI LTD (NON INVISIBLE VERTICAL RUPTURE)</v>
      </c>
      <c r="G315" s="2"/>
    </row>
    <row r="316" spans="1:7">
      <c r="A316" s="22">
        <f t="shared" si="39"/>
        <v>308</v>
      </c>
      <c r="B316" s="10">
        <f t="shared" si="48"/>
        <v>468</v>
      </c>
      <c r="C316" s="24" t="str">
        <f t="shared" si="42"/>
        <v>01D4</v>
      </c>
      <c r="D316" s="2" t="s">
        <v>254</v>
      </c>
      <c r="E316" s="2" t="s">
        <v>29</v>
      </c>
      <c r="F316" s="20" t="s">
        <v>255</v>
      </c>
      <c r="G316" s="2"/>
    </row>
    <row r="317" spans="1:7">
      <c r="A317" s="22">
        <f t="shared" si="39"/>
        <v>309</v>
      </c>
      <c r="B317" s="10">
        <f t="shared" si="48"/>
        <v>469</v>
      </c>
      <c r="C317" s="24" t="str">
        <f t="shared" si="42"/>
        <v>01D5</v>
      </c>
      <c r="D317" s="2" t="str">
        <f>D316</f>
        <v>BCOPY</v>
      </c>
      <c r="E317" s="2" t="s">
        <v>30</v>
      </c>
      <c r="F317" s="20" t="str">
        <f>F316</f>
        <v>CRTC 1 : RFD R5 OTHER TESTS</v>
      </c>
      <c r="G317" s="2"/>
    </row>
    <row r="318" spans="1:7">
      <c r="A318" s="22">
        <f t="shared" si="39"/>
        <v>310</v>
      </c>
      <c r="B318" s="10">
        <f t="shared" si="48"/>
        <v>470</v>
      </c>
      <c r="C318" s="24" t="str">
        <f t="shared" si="42"/>
        <v>01D6</v>
      </c>
      <c r="D318" s="2" t="str">
        <f t="shared" ref="D318:D321" si="52">D317</f>
        <v>BCOPY</v>
      </c>
      <c r="E318" s="2" t="s">
        <v>43</v>
      </c>
      <c r="F318" s="20" t="str">
        <f t="shared" ref="F318:F321" si="53">F317</f>
        <v>CRTC 1 : RFD R5 OTHER TESTS</v>
      </c>
      <c r="G318" s="2"/>
    </row>
    <row r="319" spans="1:7">
      <c r="A319" s="22">
        <f t="shared" si="39"/>
        <v>311</v>
      </c>
      <c r="B319" s="10">
        <f t="shared" si="48"/>
        <v>471</v>
      </c>
      <c r="C319" s="24" t="str">
        <f t="shared" si="42"/>
        <v>01D7</v>
      </c>
      <c r="D319" s="2" t="str">
        <f t="shared" si="52"/>
        <v>BCOPY</v>
      </c>
      <c r="E319" s="2" t="s">
        <v>44</v>
      </c>
      <c r="F319" s="20" t="str">
        <f t="shared" si="53"/>
        <v>CRTC 1 : RFD R5 OTHER TESTS</v>
      </c>
      <c r="G319" s="2"/>
    </row>
    <row r="320" spans="1:7">
      <c r="A320" s="22">
        <f t="shared" si="39"/>
        <v>312</v>
      </c>
      <c r="B320" s="10">
        <f t="shared" si="48"/>
        <v>472</v>
      </c>
      <c r="C320" s="24" t="str">
        <f t="shared" si="42"/>
        <v>01D8</v>
      </c>
      <c r="D320" s="2" t="str">
        <f t="shared" si="52"/>
        <v>BCOPY</v>
      </c>
      <c r="E320" s="2" t="s">
        <v>32</v>
      </c>
      <c r="F320" s="20" t="str">
        <f t="shared" si="53"/>
        <v>CRTC 1 : RFD R5 OTHER TESTS</v>
      </c>
      <c r="G320" s="2"/>
    </row>
    <row r="321" spans="1:7">
      <c r="A321" s="22">
        <f t="shared" si="39"/>
        <v>313</v>
      </c>
      <c r="B321" s="10">
        <f t="shared" si="48"/>
        <v>473</v>
      </c>
      <c r="C321" s="24" t="str">
        <f t="shared" si="42"/>
        <v>01D9</v>
      </c>
      <c r="D321" s="2" t="str">
        <f t="shared" si="52"/>
        <v>BCOPY</v>
      </c>
      <c r="E321" s="2" t="s">
        <v>33</v>
      </c>
      <c r="F321" s="20" t="str">
        <f t="shared" si="53"/>
        <v>CRTC 1 : RFD R5 OTHER TESTS</v>
      </c>
      <c r="G321" s="2"/>
    </row>
    <row r="322" spans="1:7">
      <c r="A322" s="22">
        <f t="shared" si="39"/>
        <v>314</v>
      </c>
      <c r="B322" s="10">
        <f t="shared" si="48"/>
        <v>474</v>
      </c>
      <c r="C322" s="24" t="str">
        <f t="shared" si="42"/>
        <v>01DA</v>
      </c>
      <c r="D322" s="2" t="s">
        <v>27</v>
      </c>
      <c r="E322" s="2" t="s">
        <v>1</v>
      </c>
      <c r="F322" s="20" t="s">
        <v>256</v>
      </c>
      <c r="G322" s="2"/>
    </row>
    <row r="323" spans="1:7">
      <c r="A323" s="22">
        <f t="shared" si="39"/>
        <v>315</v>
      </c>
      <c r="B323" s="10">
        <f t="shared" si="48"/>
        <v>475</v>
      </c>
      <c r="C323" s="24" t="str">
        <f t="shared" si="42"/>
        <v>01DB</v>
      </c>
      <c r="D323" s="2" t="str">
        <f>D322</f>
        <v>BCTRL</v>
      </c>
      <c r="E323" s="2" t="s">
        <v>2</v>
      </c>
      <c r="F323" s="20" t="str">
        <f>F322</f>
        <v>CRTC 1 : R5 SCANNER</v>
      </c>
      <c r="G323" s="2"/>
    </row>
    <row r="324" spans="1:7">
      <c r="A324" s="22">
        <f t="shared" si="39"/>
        <v>316</v>
      </c>
      <c r="B324" s="10">
        <f t="shared" si="48"/>
        <v>476</v>
      </c>
      <c r="C324" s="24" t="str">
        <f t="shared" si="42"/>
        <v>01DC</v>
      </c>
      <c r="D324" s="2" t="str">
        <f>D323</f>
        <v>BCTRL</v>
      </c>
      <c r="E324" s="2" t="s">
        <v>3</v>
      </c>
      <c r="F324" s="20" t="str">
        <f>F323</f>
        <v>CRTC 1 : R5 SCANNER</v>
      </c>
      <c r="G324" s="2"/>
    </row>
    <row r="325" spans="1:7">
      <c r="A325" s="22">
        <f t="shared" si="39"/>
        <v>317</v>
      </c>
      <c r="B325" s="10">
        <f t="shared" si="48"/>
        <v>477</v>
      </c>
      <c r="C325" s="24" t="str">
        <f t="shared" si="42"/>
        <v>01DD</v>
      </c>
      <c r="D325" s="2" t="s">
        <v>257</v>
      </c>
      <c r="E325" s="2" t="s">
        <v>29</v>
      </c>
      <c r="F325" s="20" t="s">
        <v>258</v>
      </c>
      <c r="G325" s="2"/>
    </row>
    <row r="326" spans="1:7">
      <c r="A326" s="22">
        <f t="shared" si="39"/>
        <v>318</v>
      </c>
      <c r="B326" s="10">
        <f t="shared" si="48"/>
        <v>478</v>
      </c>
      <c r="C326" s="24" t="str">
        <f t="shared" si="42"/>
        <v>01DE</v>
      </c>
      <c r="D326" s="2" t="s">
        <v>259</v>
      </c>
      <c r="E326" s="2" t="s">
        <v>29</v>
      </c>
      <c r="F326" s="20" t="s">
        <v>260</v>
      </c>
      <c r="G326" s="2"/>
    </row>
    <row r="327" spans="1:7">
      <c r="A327" s="22">
        <f t="shared" si="39"/>
        <v>319</v>
      </c>
      <c r="B327" s="10">
        <f t="shared" si="48"/>
        <v>479</v>
      </c>
      <c r="C327" s="24" t="str">
        <f t="shared" si="42"/>
        <v>01DF</v>
      </c>
      <c r="D327" s="2" t="str">
        <f>D326</f>
        <v>BI</v>
      </c>
      <c r="E327" s="2" t="s">
        <v>30</v>
      </c>
      <c r="F327" s="20" t="str">
        <f>F326</f>
        <v>R3 JIT</v>
      </c>
      <c r="G327" s="2"/>
    </row>
    <row r="328" spans="1:7">
      <c r="A328" s="22">
        <f t="shared" si="39"/>
        <v>320</v>
      </c>
      <c r="B328" s="10">
        <f t="shared" si="48"/>
        <v>480</v>
      </c>
      <c r="C328" s="24" t="str">
        <f t="shared" si="42"/>
        <v>01E0</v>
      </c>
      <c r="D328" s="2" t="str">
        <f t="shared" ref="D328:D333" si="54">D327</f>
        <v>BI</v>
      </c>
      <c r="E328" s="2" t="s">
        <v>31</v>
      </c>
      <c r="F328" s="20" t="str">
        <f t="shared" ref="F328:F333" si="55">F327</f>
        <v>R3 JIT</v>
      </c>
      <c r="G328" s="2"/>
    </row>
    <row r="329" spans="1:7">
      <c r="A329" s="22">
        <f t="shared" si="39"/>
        <v>321</v>
      </c>
      <c r="B329" s="10">
        <f t="shared" si="48"/>
        <v>481</v>
      </c>
      <c r="C329" s="24" t="str">
        <f t="shared" si="42"/>
        <v>01E1</v>
      </c>
      <c r="D329" s="2" t="str">
        <f t="shared" si="54"/>
        <v>BI</v>
      </c>
      <c r="E329" s="2" t="s">
        <v>32</v>
      </c>
      <c r="F329" s="20" t="str">
        <f t="shared" si="55"/>
        <v>R3 JIT</v>
      </c>
      <c r="G329" s="2"/>
    </row>
    <row r="330" spans="1:7">
      <c r="A330" s="22">
        <f t="shared" ref="A330:A393" si="56">A329+1</f>
        <v>322</v>
      </c>
      <c r="B330" s="10">
        <f t="shared" si="48"/>
        <v>482</v>
      </c>
      <c r="C330" s="24" t="str">
        <f t="shared" si="42"/>
        <v>01E2</v>
      </c>
      <c r="D330" s="2" t="str">
        <f t="shared" si="54"/>
        <v>BI</v>
      </c>
      <c r="E330" s="2" t="s">
        <v>33</v>
      </c>
      <c r="F330" s="20" t="str">
        <f t="shared" si="55"/>
        <v>R3 JIT</v>
      </c>
      <c r="G330" s="2"/>
    </row>
    <row r="331" spans="1:7">
      <c r="A331" s="22">
        <f t="shared" si="56"/>
        <v>323</v>
      </c>
      <c r="B331" s="10">
        <f t="shared" si="48"/>
        <v>483</v>
      </c>
      <c r="C331" s="24" t="str">
        <f t="shared" si="42"/>
        <v>01E3</v>
      </c>
      <c r="D331" s="2" t="str">
        <f t="shared" si="54"/>
        <v>BI</v>
      </c>
      <c r="E331" s="2" t="s">
        <v>106</v>
      </c>
      <c r="F331" s="20" t="str">
        <f t="shared" si="55"/>
        <v>R3 JIT</v>
      </c>
      <c r="G331" s="2"/>
    </row>
    <row r="332" spans="1:7">
      <c r="A332" s="22">
        <f t="shared" si="56"/>
        <v>324</v>
      </c>
      <c r="B332" s="10">
        <f t="shared" si="48"/>
        <v>484</v>
      </c>
      <c r="C332" s="24" t="str">
        <f t="shared" si="42"/>
        <v>01E4</v>
      </c>
      <c r="D332" s="2" t="str">
        <f t="shared" si="54"/>
        <v>BI</v>
      </c>
      <c r="E332" s="21" t="s">
        <v>107</v>
      </c>
      <c r="F332" s="20" t="str">
        <f t="shared" si="55"/>
        <v>R3 JIT</v>
      </c>
      <c r="G332" s="2"/>
    </row>
    <row r="333" spans="1:7">
      <c r="A333" s="22">
        <f t="shared" si="56"/>
        <v>325</v>
      </c>
      <c r="B333" s="10">
        <f t="shared" si="48"/>
        <v>485</v>
      </c>
      <c r="C333" s="24" t="str">
        <f t="shared" ref="C333" si="57">DEC2HEX(B333,4)</f>
        <v>01E5</v>
      </c>
      <c r="D333" s="2" t="str">
        <f t="shared" si="54"/>
        <v>BI</v>
      </c>
      <c r="E333" s="21" t="s">
        <v>108</v>
      </c>
      <c r="F333" s="20" t="str">
        <f t="shared" si="55"/>
        <v>R3 JIT</v>
      </c>
      <c r="G333" s="2"/>
    </row>
    <row r="334" spans="1:7">
      <c r="A334" s="22">
        <f t="shared" si="56"/>
        <v>326</v>
      </c>
      <c r="B334" s="10">
        <f t="shared" si="48"/>
        <v>486</v>
      </c>
      <c r="C334" s="24" t="str">
        <f t="shared" ref="C334" si="58">DEC2HEX(B334,4)</f>
        <v>01E6</v>
      </c>
      <c r="D334" s="2" t="s">
        <v>262</v>
      </c>
      <c r="E334" s="21" t="s">
        <v>263</v>
      </c>
      <c r="F334" s="20" t="s">
        <v>261</v>
      </c>
      <c r="G334" s="2"/>
    </row>
    <row r="335" spans="1:7">
      <c r="A335" s="22">
        <f t="shared" si="56"/>
        <v>327</v>
      </c>
      <c r="B335" s="10">
        <f t="shared" si="48"/>
        <v>487</v>
      </c>
      <c r="C335" s="24" t="str">
        <f t="shared" ref="C335" si="59">DEC2HEX(B335,4)</f>
        <v>01E7</v>
      </c>
      <c r="D335" s="2" t="s">
        <v>262</v>
      </c>
      <c r="E335" s="21" t="s">
        <v>264</v>
      </c>
      <c r="F335" s="20" t="str">
        <f>F334</f>
        <v>CRTC 1 IDENTIFIER (1A/1B)</v>
      </c>
      <c r="G335" s="2"/>
    </row>
    <row r="336" spans="1:7">
      <c r="A336" s="22">
        <f t="shared" si="56"/>
        <v>328</v>
      </c>
      <c r="B336" s="10">
        <f t="shared" si="48"/>
        <v>488</v>
      </c>
      <c r="C336" s="24" t="str">
        <f t="shared" ref="C336" si="60">DEC2HEX(B336,4)</f>
        <v>01E8</v>
      </c>
      <c r="D336" s="2" t="s">
        <v>266</v>
      </c>
      <c r="E336" s="21" t="s">
        <v>1</v>
      </c>
      <c r="F336" s="20" t="s">
        <v>265</v>
      </c>
      <c r="G336" s="2"/>
    </row>
    <row r="337" spans="1:7">
      <c r="A337" s="22">
        <f t="shared" si="56"/>
        <v>329</v>
      </c>
      <c r="B337" s="10">
        <f t="shared" si="48"/>
        <v>489</v>
      </c>
      <c r="C337" s="24" t="str">
        <f t="shared" ref="C337" si="61">DEC2HEX(B337,4)</f>
        <v>01E9</v>
      </c>
      <c r="D337" s="2" t="str">
        <f>D336</f>
        <v>BP</v>
      </c>
      <c r="E337" s="21" t="s">
        <v>2</v>
      </c>
      <c r="F337" s="20" t="str">
        <f>F336</f>
        <v>ANALYZER : FIRST TRY TO STAB ON R0=0</v>
      </c>
      <c r="G337" s="2"/>
    </row>
    <row r="338" spans="1:7">
      <c r="A338" s="22">
        <f t="shared" si="56"/>
        <v>330</v>
      </c>
      <c r="B338" s="10">
        <f t="shared" si="48"/>
        <v>490</v>
      </c>
      <c r="C338" s="24" t="str">
        <f t="shared" ref="C338" si="62">DEC2HEX(B338,4)</f>
        <v>01EA</v>
      </c>
      <c r="D338" s="2" t="str">
        <f t="shared" ref="D338:D343" si="63">D337</f>
        <v>BP</v>
      </c>
      <c r="E338" s="21" t="s">
        <v>19</v>
      </c>
      <c r="F338" s="20" t="str">
        <f t="shared" ref="F338:F343" si="64">F337</f>
        <v>ANALYZER : FIRST TRY TO STAB ON R0=0</v>
      </c>
      <c r="G338" s="2"/>
    </row>
    <row r="339" spans="1:7">
      <c r="A339" s="22">
        <f t="shared" si="56"/>
        <v>331</v>
      </c>
      <c r="B339" s="10">
        <f t="shared" si="48"/>
        <v>491</v>
      </c>
      <c r="C339" s="24" t="str">
        <f t="shared" ref="C339" si="65">DEC2HEX(B339,4)</f>
        <v>01EB</v>
      </c>
      <c r="D339" s="2" t="str">
        <f t="shared" si="63"/>
        <v>BP</v>
      </c>
      <c r="E339" s="21" t="s">
        <v>20</v>
      </c>
      <c r="F339" s="20" t="str">
        <f t="shared" si="64"/>
        <v>ANALYZER : FIRST TRY TO STAB ON R0=0</v>
      </c>
      <c r="G339" s="2"/>
    </row>
    <row r="340" spans="1:7">
      <c r="A340" s="22">
        <f t="shared" si="56"/>
        <v>332</v>
      </c>
      <c r="B340" s="10">
        <f t="shared" si="48"/>
        <v>492</v>
      </c>
      <c r="C340" s="24" t="str">
        <f t="shared" ref="C340" si="66">DEC2HEX(B340,4)</f>
        <v>01EC</v>
      </c>
      <c r="D340" s="2" t="str">
        <f t="shared" si="63"/>
        <v>BP</v>
      </c>
      <c r="E340" s="21" t="s">
        <v>43</v>
      </c>
      <c r="F340" s="20" t="str">
        <f t="shared" si="64"/>
        <v>ANALYZER : FIRST TRY TO STAB ON R0=0</v>
      </c>
      <c r="G340" s="2"/>
    </row>
    <row r="341" spans="1:7">
      <c r="A341" s="22">
        <f t="shared" si="56"/>
        <v>333</v>
      </c>
      <c r="B341" s="10">
        <f t="shared" si="48"/>
        <v>493</v>
      </c>
      <c r="C341" s="24" t="str">
        <f t="shared" ref="C341:C358" si="67">DEC2HEX(B341,4)</f>
        <v>01ED</v>
      </c>
      <c r="D341" s="2" t="str">
        <f t="shared" si="63"/>
        <v>BP</v>
      </c>
      <c r="E341" s="21" t="s">
        <v>44</v>
      </c>
      <c r="F341" s="20" t="str">
        <f t="shared" si="64"/>
        <v>ANALYZER : FIRST TRY TO STAB ON R0=0</v>
      </c>
      <c r="G341" s="2"/>
    </row>
    <row r="342" spans="1:7">
      <c r="A342" s="22">
        <f t="shared" si="56"/>
        <v>334</v>
      </c>
      <c r="B342" s="10">
        <f t="shared" si="48"/>
        <v>494</v>
      </c>
      <c r="C342" s="24" t="str">
        <f t="shared" si="67"/>
        <v>01EE</v>
      </c>
      <c r="D342" s="2" t="str">
        <f t="shared" si="63"/>
        <v>BP</v>
      </c>
      <c r="E342" s="21" t="s">
        <v>45</v>
      </c>
      <c r="F342" s="20" t="str">
        <f t="shared" si="64"/>
        <v>ANALYZER : FIRST TRY TO STAB ON R0=0</v>
      </c>
      <c r="G342" s="2"/>
    </row>
    <row r="343" spans="1:7">
      <c r="A343" s="22">
        <f t="shared" si="56"/>
        <v>335</v>
      </c>
      <c r="B343" s="10">
        <f t="shared" si="48"/>
        <v>495</v>
      </c>
      <c r="C343" s="24" t="str">
        <f t="shared" si="67"/>
        <v>01EF</v>
      </c>
      <c r="D343" s="2" t="str">
        <f t="shared" si="63"/>
        <v>BP</v>
      </c>
      <c r="E343" s="21" t="s">
        <v>46</v>
      </c>
      <c r="F343" s="20" t="str">
        <f t="shared" si="64"/>
        <v>ANALYZER : FIRST TRY TO STAB ON R0=0</v>
      </c>
      <c r="G343" s="2"/>
    </row>
    <row r="344" spans="1:7">
      <c r="A344" s="22">
        <f t="shared" si="56"/>
        <v>336</v>
      </c>
      <c r="B344" s="10">
        <f t="shared" si="48"/>
        <v>496</v>
      </c>
      <c r="C344" s="24" t="str">
        <f t="shared" si="67"/>
        <v>01F0</v>
      </c>
      <c r="D344" s="2" t="s">
        <v>268</v>
      </c>
      <c r="E344" s="21" t="s">
        <v>29</v>
      </c>
      <c r="F344" s="20" t="s">
        <v>267</v>
      </c>
      <c r="G344" s="2"/>
    </row>
    <row r="345" spans="1:7">
      <c r="A345" s="22">
        <f t="shared" si="56"/>
        <v>337</v>
      </c>
      <c r="B345" s="10">
        <f t="shared" si="48"/>
        <v>497</v>
      </c>
      <c r="C345" s="24" t="str">
        <f t="shared" si="67"/>
        <v>01F1</v>
      </c>
      <c r="D345" s="2" t="str">
        <f>D344</f>
        <v>BR</v>
      </c>
      <c r="E345" s="21" t="s">
        <v>30</v>
      </c>
      <c r="F345" s="20" t="str">
        <f>F344</f>
        <v>INTERRUPT DELAY FROM R2 (SHAKER KILLER)</v>
      </c>
      <c r="G345" s="2"/>
    </row>
    <row r="346" spans="1:7">
      <c r="A346" s="22">
        <f t="shared" si="56"/>
        <v>338</v>
      </c>
      <c r="B346" s="10">
        <f t="shared" si="48"/>
        <v>498</v>
      </c>
      <c r="C346" s="24" t="str">
        <f t="shared" si="67"/>
        <v>01F2</v>
      </c>
      <c r="D346" s="2" t="str">
        <f t="shared" ref="D346:D349" si="68">D345</f>
        <v>BR</v>
      </c>
      <c r="E346" s="21" t="s">
        <v>31</v>
      </c>
      <c r="F346" s="20" t="str">
        <f t="shared" ref="F346:F349" si="69">F345</f>
        <v>INTERRUPT DELAY FROM R2 (SHAKER KILLER)</v>
      </c>
      <c r="G346" s="2"/>
    </row>
    <row r="347" spans="1:7">
      <c r="A347" s="22">
        <f t="shared" si="56"/>
        <v>339</v>
      </c>
      <c r="B347" s="10">
        <f t="shared" si="48"/>
        <v>499</v>
      </c>
      <c r="C347" s="24" t="str">
        <f t="shared" si="67"/>
        <v>01F3</v>
      </c>
      <c r="D347" s="2" t="str">
        <f t="shared" si="68"/>
        <v>BR</v>
      </c>
      <c r="E347" s="21" t="s">
        <v>32</v>
      </c>
      <c r="F347" s="20" t="str">
        <f t="shared" si="69"/>
        <v>INTERRUPT DELAY FROM R2 (SHAKER KILLER)</v>
      </c>
      <c r="G347" s="2"/>
    </row>
    <row r="348" spans="1:7">
      <c r="A348" s="22">
        <f t="shared" si="56"/>
        <v>340</v>
      </c>
      <c r="B348" s="10">
        <f t="shared" si="48"/>
        <v>500</v>
      </c>
      <c r="C348" s="24" t="str">
        <f t="shared" si="67"/>
        <v>01F4</v>
      </c>
      <c r="D348" s="2" t="str">
        <f t="shared" si="68"/>
        <v>BR</v>
      </c>
      <c r="E348" s="2" t="s">
        <v>33</v>
      </c>
      <c r="F348" s="20" t="str">
        <f t="shared" si="69"/>
        <v>INTERRUPT DELAY FROM R2 (SHAKER KILLER)</v>
      </c>
      <c r="G348" s="2"/>
    </row>
    <row r="349" spans="1:7">
      <c r="A349" s="22">
        <f t="shared" si="56"/>
        <v>341</v>
      </c>
      <c r="B349" s="10">
        <f t="shared" si="48"/>
        <v>501</v>
      </c>
      <c r="C349" s="24" t="str">
        <f t="shared" si="67"/>
        <v>01F5</v>
      </c>
      <c r="D349" s="2" t="str">
        <f t="shared" si="68"/>
        <v>BR</v>
      </c>
      <c r="E349" s="2" t="s">
        <v>106</v>
      </c>
      <c r="F349" s="20" t="str">
        <f t="shared" si="69"/>
        <v>INTERRUPT DELAY FROM R2 (SHAKER KILLER)</v>
      </c>
      <c r="G349" s="2"/>
    </row>
    <row r="350" spans="1:7">
      <c r="A350" s="22">
        <f t="shared" si="56"/>
        <v>342</v>
      </c>
      <c r="B350" s="10">
        <f t="shared" si="48"/>
        <v>502</v>
      </c>
      <c r="C350" s="24" t="str">
        <f t="shared" si="67"/>
        <v>01F6</v>
      </c>
      <c r="D350" s="2" t="s">
        <v>269</v>
      </c>
      <c r="E350" s="2" t="s">
        <v>1</v>
      </c>
      <c r="F350" s="20" t="s">
        <v>270</v>
      </c>
      <c r="G350" s="2"/>
    </row>
    <row r="351" spans="1:7">
      <c r="A351" s="22">
        <f t="shared" si="56"/>
        <v>343</v>
      </c>
      <c r="B351" s="10">
        <f t="shared" si="48"/>
        <v>503</v>
      </c>
      <c r="C351" s="24" t="str">
        <f t="shared" si="67"/>
        <v>01F7</v>
      </c>
      <c r="D351" s="2" t="str">
        <f>D350</f>
        <v>BRETURN</v>
      </c>
      <c r="E351" s="2" t="s">
        <v>2</v>
      </c>
      <c r="F351" s="20" t="str">
        <f>F350</f>
        <v>R5 STORIES</v>
      </c>
      <c r="G351" s="2"/>
    </row>
    <row r="352" spans="1:7">
      <c r="A352" s="22">
        <f t="shared" si="56"/>
        <v>344</v>
      </c>
      <c r="B352" s="10">
        <f t="shared" si="48"/>
        <v>504</v>
      </c>
      <c r="C352" s="24" t="str">
        <f t="shared" si="67"/>
        <v>01F8</v>
      </c>
      <c r="D352" s="2" t="str">
        <f t="shared" ref="D352:D379" si="70">D351</f>
        <v>BRETURN</v>
      </c>
      <c r="E352" s="2" t="s">
        <v>3</v>
      </c>
      <c r="F352" s="20" t="str">
        <f t="shared" ref="F352:F379" si="71">F351</f>
        <v>R5 STORIES</v>
      </c>
      <c r="G352" s="2"/>
    </row>
    <row r="353" spans="1:7">
      <c r="A353" s="22">
        <f t="shared" si="56"/>
        <v>345</v>
      </c>
      <c r="B353" s="10">
        <f t="shared" si="48"/>
        <v>505</v>
      </c>
      <c r="C353" s="24" t="str">
        <f t="shared" si="67"/>
        <v>01F9</v>
      </c>
      <c r="D353" s="2" t="str">
        <f t="shared" si="70"/>
        <v>BRETURN</v>
      </c>
      <c r="E353" s="2" t="s">
        <v>4</v>
      </c>
      <c r="F353" s="20" t="str">
        <f t="shared" si="71"/>
        <v>R5 STORIES</v>
      </c>
      <c r="G353" s="2"/>
    </row>
    <row r="354" spans="1:7">
      <c r="A354" s="22">
        <f t="shared" si="56"/>
        <v>346</v>
      </c>
      <c r="B354" s="10">
        <f t="shared" si="48"/>
        <v>506</v>
      </c>
      <c r="C354" s="24" t="str">
        <f t="shared" si="67"/>
        <v>01FA</v>
      </c>
      <c r="D354" s="2" t="str">
        <f t="shared" si="70"/>
        <v>BRETURN</v>
      </c>
      <c r="E354" s="21" t="s">
        <v>5</v>
      </c>
      <c r="F354" s="20" t="str">
        <f t="shared" si="71"/>
        <v>R5 STORIES</v>
      </c>
      <c r="G354" s="2"/>
    </row>
    <row r="355" spans="1:7">
      <c r="A355" s="22">
        <f t="shared" si="56"/>
        <v>347</v>
      </c>
      <c r="B355" s="10">
        <f t="shared" si="48"/>
        <v>507</v>
      </c>
      <c r="C355" s="24" t="str">
        <f t="shared" si="67"/>
        <v>01FB</v>
      </c>
      <c r="D355" s="2" t="str">
        <f t="shared" si="70"/>
        <v>BRETURN</v>
      </c>
      <c r="E355" s="21" t="s">
        <v>6</v>
      </c>
      <c r="F355" s="20" t="str">
        <f t="shared" si="71"/>
        <v>R5 STORIES</v>
      </c>
      <c r="G355" s="2"/>
    </row>
    <row r="356" spans="1:7">
      <c r="A356" s="22">
        <f t="shared" si="56"/>
        <v>348</v>
      </c>
      <c r="B356" s="10">
        <f t="shared" si="48"/>
        <v>508</v>
      </c>
      <c r="C356" s="24" t="str">
        <f t="shared" si="67"/>
        <v>01FC</v>
      </c>
      <c r="D356" s="2" t="str">
        <f t="shared" si="70"/>
        <v>BRETURN</v>
      </c>
      <c r="E356" s="21" t="s">
        <v>7</v>
      </c>
      <c r="F356" s="20" t="str">
        <f t="shared" si="71"/>
        <v>R5 STORIES</v>
      </c>
      <c r="G356" s="2"/>
    </row>
    <row r="357" spans="1:7">
      <c r="A357" s="22">
        <f t="shared" si="56"/>
        <v>349</v>
      </c>
      <c r="B357" s="10">
        <f t="shared" si="48"/>
        <v>509</v>
      </c>
      <c r="C357" s="24" t="str">
        <f t="shared" si="67"/>
        <v>01FD</v>
      </c>
      <c r="D357" s="2" t="str">
        <f t="shared" si="70"/>
        <v>BRETURN</v>
      </c>
      <c r="E357" s="21" t="s">
        <v>8</v>
      </c>
      <c r="F357" s="20" t="str">
        <f t="shared" si="71"/>
        <v>R5 STORIES</v>
      </c>
      <c r="G357" s="2"/>
    </row>
    <row r="358" spans="1:7">
      <c r="A358" s="22">
        <f t="shared" si="56"/>
        <v>350</v>
      </c>
      <c r="B358" s="10">
        <v>512</v>
      </c>
      <c r="C358" s="24" t="str">
        <f t="shared" si="67"/>
        <v>0200</v>
      </c>
      <c r="D358" s="2" t="str">
        <f t="shared" si="70"/>
        <v>BRETURN</v>
      </c>
      <c r="E358" s="21" t="s">
        <v>9</v>
      </c>
      <c r="F358" s="20" t="str">
        <f t="shared" si="71"/>
        <v>R5 STORIES</v>
      </c>
      <c r="G358" s="2"/>
    </row>
    <row r="359" spans="1:7">
      <c r="A359" s="22">
        <f t="shared" si="56"/>
        <v>351</v>
      </c>
      <c r="B359" s="10">
        <f t="shared" si="48"/>
        <v>513</v>
      </c>
      <c r="C359" s="24" t="str">
        <f>DEC2HEX(B359,4)</f>
        <v>0201</v>
      </c>
      <c r="D359" s="2" t="str">
        <f t="shared" si="70"/>
        <v>BRETURN</v>
      </c>
      <c r="E359" s="21" t="s">
        <v>84</v>
      </c>
      <c r="F359" s="20" t="str">
        <f t="shared" si="71"/>
        <v>R5 STORIES</v>
      </c>
      <c r="G359" s="2"/>
    </row>
    <row r="360" spans="1:7">
      <c r="A360" s="22">
        <f t="shared" si="56"/>
        <v>352</v>
      </c>
      <c r="B360" s="10">
        <f t="shared" si="48"/>
        <v>514</v>
      </c>
      <c r="C360" s="24" t="str">
        <f>DEC2HEX(B360,4)</f>
        <v>0202</v>
      </c>
      <c r="D360" s="2" t="str">
        <f t="shared" si="70"/>
        <v>BRETURN</v>
      </c>
      <c r="E360" s="21" t="s">
        <v>19</v>
      </c>
      <c r="F360" s="20" t="str">
        <f t="shared" si="71"/>
        <v>R5 STORIES</v>
      </c>
      <c r="G360" s="2"/>
    </row>
    <row r="361" spans="1:7">
      <c r="A361" s="22">
        <f t="shared" si="56"/>
        <v>353</v>
      </c>
      <c r="B361" s="10">
        <f t="shared" si="48"/>
        <v>515</v>
      </c>
      <c r="C361" s="24" t="str">
        <f t="shared" ref="C361" si="72">DEC2HEX(B361,4)</f>
        <v>0203</v>
      </c>
      <c r="D361" s="2" t="str">
        <f t="shared" si="70"/>
        <v>BRETURN</v>
      </c>
      <c r="E361" s="21" t="s">
        <v>20</v>
      </c>
      <c r="F361" s="20" t="str">
        <f t="shared" si="71"/>
        <v>R5 STORIES</v>
      </c>
      <c r="G361" s="2"/>
    </row>
    <row r="362" spans="1:7">
      <c r="A362" s="22">
        <f t="shared" si="56"/>
        <v>354</v>
      </c>
      <c r="B362" s="10">
        <f>B361+1</f>
        <v>516</v>
      </c>
      <c r="C362" s="24" t="str">
        <f t="shared" ref="C362" si="73">DEC2HEX(B362,4)</f>
        <v>0204</v>
      </c>
      <c r="D362" s="2" t="str">
        <f t="shared" si="70"/>
        <v>BRETURN</v>
      </c>
      <c r="E362" s="21" t="s">
        <v>42</v>
      </c>
      <c r="F362" s="20" t="str">
        <f t="shared" si="71"/>
        <v>R5 STORIES</v>
      </c>
      <c r="G362" s="2"/>
    </row>
    <row r="363" spans="1:7">
      <c r="A363" s="22">
        <f t="shared" si="56"/>
        <v>355</v>
      </c>
      <c r="B363" s="10">
        <f>B362+1</f>
        <v>517</v>
      </c>
      <c r="C363" s="24" t="str">
        <f t="shared" ref="C363" si="74">DEC2HEX(B363,4)</f>
        <v>0205</v>
      </c>
      <c r="D363" s="2" t="str">
        <f t="shared" si="70"/>
        <v>BRETURN</v>
      </c>
      <c r="E363" s="21" t="s">
        <v>21</v>
      </c>
      <c r="F363" s="20" t="str">
        <f t="shared" si="71"/>
        <v>R5 STORIES</v>
      </c>
      <c r="G363" s="2"/>
    </row>
    <row r="364" spans="1:7">
      <c r="A364" s="22">
        <f t="shared" si="56"/>
        <v>356</v>
      </c>
      <c r="B364" s="10">
        <f>B363+1</f>
        <v>518</v>
      </c>
      <c r="C364" s="24" t="str">
        <f t="shared" ref="C364" si="75">DEC2HEX(B364,4)</f>
        <v>0206</v>
      </c>
      <c r="D364" s="2" t="str">
        <f t="shared" si="70"/>
        <v>BRETURN</v>
      </c>
      <c r="E364" s="21" t="s">
        <v>22</v>
      </c>
      <c r="F364" s="20" t="str">
        <f t="shared" si="71"/>
        <v>R5 STORIES</v>
      </c>
      <c r="G364" s="2"/>
    </row>
    <row r="365" spans="1:7">
      <c r="A365" s="22">
        <f t="shared" si="56"/>
        <v>357</v>
      </c>
      <c r="B365" s="10">
        <f t="shared" ref="B365:B425" si="76">B364+1</f>
        <v>519</v>
      </c>
      <c r="C365" s="24" t="str">
        <f t="shared" ref="C365" si="77">DEC2HEX(B365,4)</f>
        <v>0207</v>
      </c>
      <c r="D365" s="2" t="str">
        <f t="shared" si="70"/>
        <v>BRETURN</v>
      </c>
      <c r="E365" s="21" t="s">
        <v>23</v>
      </c>
      <c r="F365" s="20" t="str">
        <f t="shared" si="71"/>
        <v>R5 STORIES</v>
      </c>
      <c r="G365" s="2"/>
    </row>
    <row r="366" spans="1:7">
      <c r="A366" s="22">
        <f t="shared" si="56"/>
        <v>358</v>
      </c>
      <c r="B366" s="10">
        <f t="shared" si="76"/>
        <v>520</v>
      </c>
      <c r="C366" s="24" t="str">
        <f t="shared" ref="C366" si="78">DEC2HEX(B366,4)</f>
        <v>0208</v>
      </c>
      <c r="D366" s="2" t="str">
        <f t="shared" si="70"/>
        <v>BRETURN</v>
      </c>
      <c r="E366" s="21" t="s">
        <v>24</v>
      </c>
      <c r="F366" s="20" t="str">
        <f t="shared" si="71"/>
        <v>R5 STORIES</v>
      </c>
      <c r="G366" s="2"/>
    </row>
    <row r="367" spans="1:7">
      <c r="A367" s="22">
        <f t="shared" si="56"/>
        <v>359</v>
      </c>
      <c r="B367" s="10">
        <f t="shared" si="76"/>
        <v>521</v>
      </c>
      <c r="C367" s="24" t="str">
        <f t="shared" ref="C367" si="79">DEC2HEX(B367,4)</f>
        <v>0209</v>
      </c>
      <c r="D367" s="2" t="str">
        <f t="shared" si="70"/>
        <v>BRETURN</v>
      </c>
      <c r="E367" s="21" t="s">
        <v>271</v>
      </c>
      <c r="F367" s="20" t="str">
        <f t="shared" si="71"/>
        <v>R5 STORIES</v>
      </c>
      <c r="G367" s="2"/>
    </row>
    <row r="368" spans="1:7">
      <c r="A368" s="22">
        <f t="shared" si="56"/>
        <v>360</v>
      </c>
      <c r="B368" s="10">
        <f t="shared" si="76"/>
        <v>522</v>
      </c>
      <c r="C368" s="24" t="str">
        <f t="shared" ref="C368" si="80">DEC2HEX(B368,4)</f>
        <v>020A</v>
      </c>
      <c r="D368" s="2" t="str">
        <f t="shared" si="70"/>
        <v>BRETURN</v>
      </c>
      <c r="E368" s="21" t="s">
        <v>25</v>
      </c>
      <c r="F368" s="20" t="str">
        <f t="shared" si="71"/>
        <v>R5 STORIES</v>
      </c>
      <c r="G368" s="2"/>
    </row>
    <row r="369" spans="1:7">
      <c r="A369" s="22">
        <f t="shared" si="56"/>
        <v>361</v>
      </c>
      <c r="B369" s="10">
        <f t="shared" si="76"/>
        <v>523</v>
      </c>
      <c r="C369" s="24" t="str">
        <f t="shared" ref="C369" si="81">DEC2HEX(B369,4)</f>
        <v>020B</v>
      </c>
      <c r="D369" s="2" t="str">
        <f t="shared" si="70"/>
        <v>BRETURN</v>
      </c>
      <c r="E369" s="2" t="s">
        <v>272</v>
      </c>
      <c r="F369" s="20" t="str">
        <f t="shared" si="71"/>
        <v>R5 STORIES</v>
      </c>
      <c r="G369" s="2"/>
    </row>
    <row r="370" spans="1:7">
      <c r="A370" s="22">
        <f t="shared" si="56"/>
        <v>362</v>
      </c>
      <c r="B370" s="10">
        <f t="shared" si="76"/>
        <v>524</v>
      </c>
      <c r="C370" s="24" t="str">
        <f t="shared" ref="C370" si="82">DEC2HEX(B370,4)</f>
        <v>020C</v>
      </c>
      <c r="D370" s="2" t="str">
        <f t="shared" si="70"/>
        <v>BRETURN</v>
      </c>
      <c r="E370" s="2" t="s">
        <v>43</v>
      </c>
      <c r="F370" s="20" t="str">
        <f t="shared" si="71"/>
        <v>R5 STORIES</v>
      </c>
      <c r="G370" s="2"/>
    </row>
    <row r="371" spans="1:7">
      <c r="A371" s="22">
        <f t="shared" si="56"/>
        <v>363</v>
      </c>
      <c r="B371" s="10">
        <f t="shared" si="76"/>
        <v>525</v>
      </c>
      <c r="C371" s="24" t="str">
        <f t="shared" ref="C371" si="83">DEC2HEX(B371,4)</f>
        <v>020D</v>
      </c>
      <c r="D371" s="2" t="str">
        <f t="shared" si="70"/>
        <v>BRETURN</v>
      </c>
      <c r="E371" s="2" t="s">
        <v>44</v>
      </c>
      <c r="F371" s="20" t="str">
        <f t="shared" si="71"/>
        <v>R5 STORIES</v>
      </c>
      <c r="G371" s="2"/>
    </row>
    <row r="372" spans="1:7">
      <c r="A372" s="22">
        <f t="shared" si="56"/>
        <v>364</v>
      </c>
      <c r="B372" s="10">
        <f t="shared" si="76"/>
        <v>526</v>
      </c>
      <c r="C372" s="24" t="str">
        <f t="shared" ref="C372" si="84">DEC2HEX(B372,4)</f>
        <v>020E</v>
      </c>
      <c r="D372" s="2" t="str">
        <f t="shared" si="70"/>
        <v>BRETURN</v>
      </c>
      <c r="E372" s="2" t="s">
        <v>273</v>
      </c>
      <c r="F372" s="20" t="str">
        <f t="shared" si="71"/>
        <v>R5 STORIES</v>
      </c>
      <c r="G372" s="2"/>
    </row>
    <row r="373" spans="1:7">
      <c r="A373" s="22">
        <f t="shared" si="56"/>
        <v>365</v>
      </c>
      <c r="B373" s="10">
        <f t="shared" si="76"/>
        <v>527</v>
      </c>
      <c r="C373" s="24" t="str">
        <f t="shared" ref="C373" si="85">DEC2HEX(B373,4)</f>
        <v>020F</v>
      </c>
      <c r="D373" s="2" t="str">
        <f t="shared" si="70"/>
        <v>BRETURN</v>
      </c>
      <c r="E373" s="2" t="s">
        <v>274</v>
      </c>
      <c r="F373" s="20" t="str">
        <f t="shared" si="71"/>
        <v>R5 STORIES</v>
      </c>
      <c r="G373" s="2"/>
    </row>
    <row r="374" spans="1:7">
      <c r="A374" s="22">
        <f t="shared" si="56"/>
        <v>366</v>
      </c>
      <c r="B374" s="10">
        <f t="shared" si="76"/>
        <v>528</v>
      </c>
      <c r="C374" s="24" t="str">
        <f t="shared" ref="C374" si="86">DEC2HEX(B374,4)</f>
        <v>0210</v>
      </c>
      <c r="D374" s="2" t="str">
        <f t="shared" si="70"/>
        <v>BRETURN</v>
      </c>
      <c r="E374" s="2" t="s">
        <v>275</v>
      </c>
      <c r="F374" s="20" t="str">
        <f t="shared" si="71"/>
        <v>R5 STORIES</v>
      </c>
      <c r="G374" s="2"/>
    </row>
    <row r="375" spans="1:7">
      <c r="A375" s="22">
        <f t="shared" si="56"/>
        <v>367</v>
      </c>
      <c r="B375" s="10">
        <f t="shared" si="76"/>
        <v>529</v>
      </c>
      <c r="C375" s="24" t="str">
        <f t="shared" ref="C375" si="87">DEC2HEX(B375,4)</f>
        <v>0211</v>
      </c>
      <c r="D375" s="2" t="str">
        <f t="shared" si="70"/>
        <v>BRETURN</v>
      </c>
      <c r="E375" s="21" t="s">
        <v>276</v>
      </c>
      <c r="F375" s="20" t="str">
        <f t="shared" si="71"/>
        <v>R5 STORIES</v>
      </c>
      <c r="G375" s="2"/>
    </row>
    <row r="376" spans="1:7">
      <c r="A376" s="22">
        <f t="shared" si="56"/>
        <v>368</v>
      </c>
      <c r="B376" s="10">
        <f t="shared" si="76"/>
        <v>530</v>
      </c>
      <c r="C376" s="24" t="str">
        <f t="shared" ref="C376" si="88">DEC2HEX(B376,4)</f>
        <v>0212</v>
      </c>
      <c r="D376" s="2" t="str">
        <f t="shared" si="70"/>
        <v>BRETURN</v>
      </c>
      <c r="E376" s="21" t="s">
        <v>277</v>
      </c>
      <c r="F376" s="20" t="str">
        <f t="shared" si="71"/>
        <v>R5 STORIES</v>
      </c>
      <c r="G376" s="2"/>
    </row>
    <row r="377" spans="1:7">
      <c r="A377" s="22">
        <f t="shared" si="56"/>
        <v>369</v>
      </c>
      <c r="B377" s="10">
        <f t="shared" si="76"/>
        <v>531</v>
      </c>
      <c r="C377" s="24" t="str">
        <f t="shared" ref="C377" si="89">DEC2HEX(B377,4)</f>
        <v>0213</v>
      </c>
      <c r="D377" s="2" t="str">
        <f t="shared" si="70"/>
        <v>BRETURN</v>
      </c>
      <c r="E377" s="21" t="s">
        <v>278</v>
      </c>
      <c r="F377" s="20" t="str">
        <f t="shared" si="71"/>
        <v>R5 STORIES</v>
      </c>
      <c r="G377" s="2"/>
    </row>
    <row r="378" spans="1:7">
      <c r="A378" s="22">
        <f t="shared" si="56"/>
        <v>370</v>
      </c>
      <c r="B378" s="10">
        <f t="shared" si="76"/>
        <v>532</v>
      </c>
      <c r="C378" s="24" t="str">
        <f t="shared" ref="C378" si="90">DEC2HEX(B378,4)</f>
        <v>0214</v>
      </c>
      <c r="D378" s="2" t="str">
        <f t="shared" si="70"/>
        <v>BRETURN</v>
      </c>
      <c r="E378" s="21" t="s">
        <v>279</v>
      </c>
      <c r="F378" s="20" t="str">
        <f t="shared" si="71"/>
        <v>R5 STORIES</v>
      </c>
      <c r="G378" s="2"/>
    </row>
    <row r="379" spans="1:7">
      <c r="A379" s="22">
        <f t="shared" si="56"/>
        <v>371</v>
      </c>
      <c r="B379" s="10">
        <f t="shared" si="76"/>
        <v>533</v>
      </c>
      <c r="C379" s="24" t="str">
        <f t="shared" ref="C379" si="91">DEC2HEX(B379,4)</f>
        <v>0215</v>
      </c>
      <c r="D379" s="2" t="str">
        <f t="shared" si="70"/>
        <v>BRETURN</v>
      </c>
      <c r="E379" s="21" t="s">
        <v>280</v>
      </c>
      <c r="F379" s="20" t="str">
        <f t="shared" si="71"/>
        <v>R5 STORIES</v>
      </c>
      <c r="G379" s="2"/>
    </row>
    <row r="380" spans="1:7">
      <c r="A380" s="22">
        <f t="shared" si="56"/>
        <v>372</v>
      </c>
      <c r="B380" s="10">
        <f t="shared" si="76"/>
        <v>534</v>
      </c>
      <c r="C380" s="24" t="str">
        <f t="shared" ref="C380" si="92">DEC2HEX(B380,4)</f>
        <v>0216</v>
      </c>
      <c r="D380" s="2" t="s">
        <v>281</v>
      </c>
      <c r="E380" s="21" t="s">
        <v>29</v>
      </c>
      <c r="F380" s="20" t="s">
        <v>282</v>
      </c>
      <c r="G380" s="2"/>
    </row>
    <row r="381" spans="1:7">
      <c r="A381" s="22">
        <f t="shared" si="56"/>
        <v>373</v>
      </c>
      <c r="B381" s="10">
        <f t="shared" si="76"/>
        <v>535</v>
      </c>
      <c r="C381" s="24" t="str">
        <f t="shared" ref="C381" si="93">DEC2HEX(B381,4)</f>
        <v>0217</v>
      </c>
      <c r="D381" s="2" t="s">
        <v>292</v>
      </c>
      <c r="E381" s="21" t="s">
        <v>29</v>
      </c>
      <c r="F381" s="20" t="s">
        <v>283</v>
      </c>
      <c r="G381" s="2"/>
    </row>
    <row r="382" spans="1:7">
      <c r="A382" s="22">
        <f t="shared" si="56"/>
        <v>374</v>
      </c>
      <c r="B382" s="10">
        <f t="shared" si="76"/>
        <v>536</v>
      </c>
      <c r="C382" s="24" t="str">
        <f t="shared" ref="C382" si="94">DEC2HEX(B382,4)</f>
        <v>0218</v>
      </c>
      <c r="D382" s="2" t="str">
        <f>D381</f>
        <v>BU</v>
      </c>
      <c r="E382" s="21" t="s">
        <v>30</v>
      </c>
      <c r="F382" s="20" t="str">
        <f>F381</f>
        <v>CRTC 0 : R0 = 0</v>
      </c>
      <c r="G382" s="2"/>
    </row>
    <row r="383" spans="1:7">
      <c r="A383" s="22">
        <f t="shared" si="56"/>
        <v>375</v>
      </c>
      <c r="B383" s="10">
        <f t="shared" si="76"/>
        <v>537</v>
      </c>
      <c r="C383" s="24" t="str">
        <f t="shared" ref="C383" si="95">DEC2HEX(B383,4)</f>
        <v>0219</v>
      </c>
      <c r="D383" s="2" t="str">
        <f t="shared" ref="D383:D399" si="96">D382</f>
        <v>BU</v>
      </c>
      <c r="E383" s="21" t="s">
        <v>31</v>
      </c>
      <c r="F383" s="20" t="str">
        <f t="shared" ref="F383:F399" si="97">F382</f>
        <v>CRTC 0 : R0 = 0</v>
      </c>
      <c r="G383" s="2"/>
    </row>
    <row r="384" spans="1:7">
      <c r="A384" s="22">
        <f t="shared" si="56"/>
        <v>376</v>
      </c>
      <c r="B384" s="10">
        <f t="shared" si="76"/>
        <v>538</v>
      </c>
      <c r="C384" s="24" t="str">
        <f t="shared" ref="C384" si="98">DEC2HEX(B384,4)</f>
        <v>021A</v>
      </c>
      <c r="D384" s="2" t="str">
        <f t="shared" si="96"/>
        <v>BU</v>
      </c>
      <c r="E384" s="21" t="s">
        <v>32</v>
      </c>
      <c r="F384" s="20" t="str">
        <f t="shared" si="97"/>
        <v>CRTC 0 : R0 = 0</v>
      </c>
      <c r="G384" s="2"/>
    </row>
    <row r="385" spans="1:7">
      <c r="A385" s="22">
        <f t="shared" si="56"/>
        <v>377</v>
      </c>
      <c r="B385" s="10">
        <f t="shared" si="76"/>
        <v>539</v>
      </c>
      <c r="C385" s="24" t="str">
        <f t="shared" ref="C385" si="99">DEC2HEX(B385,4)</f>
        <v>021B</v>
      </c>
      <c r="D385" s="2" t="str">
        <f t="shared" si="96"/>
        <v>BU</v>
      </c>
      <c r="E385" s="21" t="s">
        <v>33</v>
      </c>
      <c r="F385" s="20" t="str">
        <f t="shared" si="97"/>
        <v>CRTC 0 : R0 = 0</v>
      </c>
      <c r="G385" s="2"/>
    </row>
    <row r="386" spans="1:7">
      <c r="A386" s="22">
        <f t="shared" si="56"/>
        <v>378</v>
      </c>
      <c r="B386" s="10">
        <f t="shared" si="76"/>
        <v>540</v>
      </c>
      <c r="C386" s="24" t="str">
        <f t="shared" ref="C386" si="100">DEC2HEX(B386,4)</f>
        <v>021C</v>
      </c>
      <c r="D386" s="2" t="str">
        <f t="shared" si="96"/>
        <v>BU</v>
      </c>
      <c r="E386" s="21" t="s">
        <v>106</v>
      </c>
      <c r="F386" s="20" t="str">
        <f t="shared" si="97"/>
        <v>CRTC 0 : R0 = 0</v>
      </c>
      <c r="G386" s="2"/>
    </row>
    <row r="387" spans="1:7">
      <c r="A387" s="22">
        <f t="shared" si="56"/>
        <v>379</v>
      </c>
      <c r="B387" s="10">
        <f t="shared" si="76"/>
        <v>541</v>
      </c>
      <c r="C387" s="24" t="str">
        <f t="shared" ref="C387" si="101">DEC2HEX(B387,4)</f>
        <v>021D</v>
      </c>
      <c r="D387" s="2" t="str">
        <f t="shared" si="96"/>
        <v>BU</v>
      </c>
      <c r="E387" s="21" t="s">
        <v>107</v>
      </c>
      <c r="F387" s="20" t="str">
        <f t="shared" si="97"/>
        <v>CRTC 0 : R0 = 0</v>
      </c>
      <c r="G387" s="2"/>
    </row>
    <row r="388" spans="1:7">
      <c r="A388" s="22">
        <f t="shared" si="56"/>
        <v>380</v>
      </c>
      <c r="B388" s="10">
        <f t="shared" si="76"/>
        <v>542</v>
      </c>
      <c r="C388" s="24" t="str">
        <f t="shared" ref="C388" si="102">DEC2HEX(B388,4)</f>
        <v>021E</v>
      </c>
      <c r="D388" s="2" t="str">
        <f t="shared" si="96"/>
        <v>BU</v>
      </c>
      <c r="E388" s="21" t="s">
        <v>108</v>
      </c>
      <c r="F388" s="20" t="str">
        <f t="shared" si="97"/>
        <v>CRTC 0 : R0 = 0</v>
      </c>
      <c r="G388" s="2"/>
    </row>
    <row r="389" spans="1:7">
      <c r="A389" s="22">
        <f t="shared" si="56"/>
        <v>381</v>
      </c>
      <c r="B389" s="10">
        <f t="shared" si="76"/>
        <v>543</v>
      </c>
      <c r="C389" s="24" t="str">
        <f t="shared" ref="C389" si="103">DEC2HEX(B389,4)</f>
        <v>021F</v>
      </c>
      <c r="D389" s="2" t="str">
        <f t="shared" si="96"/>
        <v>BU</v>
      </c>
      <c r="E389" s="21" t="s">
        <v>109</v>
      </c>
      <c r="F389" s="20" t="str">
        <f t="shared" si="97"/>
        <v>CRTC 0 : R0 = 0</v>
      </c>
      <c r="G389" s="2"/>
    </row>
    <row r="390" spans="1:7">
      <c r="A390" s="22">
        <f t="shared" si="56"/>
        <v>382</v>
      </c>
      <c r="B390" s="10">
        <f t="shared" si="76"/>
        <v>544</v>
      </c>
      <c r="C390" s="24" t="str">
        <f t="shared" ref="C390" si="104">DEC2HEX(B390,4)</f>
        <v>0220</v>
      </c>
      <c r="D390" s="2" t="str">
        <f t="shared" si="96"/>
        <v>BU</v>
      </c>
      <c r="E390" s="2" t="s">
        <v>111</v>
      </c>
      <c r="F390" s="20" t="str">
        <f t="shared" si="97"/>
        <v>CRTC 0 : R0 = 0</v>
      </c>
      <c r="G390" s="2"/>
    </row>
    <row r="391" spans="1:7">
      <c r="A391" s="22">
        <f t="shared" si="56"/>
        <v>383</v>
      </c>
      <c r="B391" s="10">
        <f t="shared" si="76"/>
        <v>545</v>
      </c>
      <c r="C391" s="24" t="str">
        <f t="shared" ref="C391" si="105">DEC2HEX(B391,4)</f>
        <v>0221</v>
      </c>
      <c r="D391" s="2" t="str">
        <f t="shared" si="96"/>
        <v>BU</v>
      </c>
      <c r="E391" s="2" t="s">
        <v>112</v>
      </c>
      <c r="F391" s="20" t="str">
        <f t="shared" si="97"/>
        <v>CRTC 0 : R0 = 0</v>
      </c>
      <c r="G391" s="2"/>
    </row>
    <row r="392" spans="1:7">
      <c r="A392" s="22">
        <f t="shared" si="56"/>
        <v>384</v>
      </c>
      <c r="B392" s="10">
        <f t="shared" si="76"/>
        <v>546</v>
      </c>
      <c r="C392" s="24" t="str">
        <f t="shared" ref="C392" si="106">DEC2HEX(B392,4)</f>
        <v>0222</v>
      </c>
      <c r="D392" s="2" t="str">
        <f t="shared" si="96"/>
        <v>BU</v>
      </c>
      <c r="E392" s="2" t="s">
        <v>284</v>
      </c>
      <c r="F392" s="20" t="str">
        <f t="shared" si="97"/>
        <v>CRTC 0 : R0 = 0</v>
      </c>
      <c r="G392" s="2"/>
    </row>
    <row r="393" spans="1:7">
      <c r="A393" s="22">
        <f t="shared" si="56"/>
        <v>385</v>
      </c>
      <c r="B393" s="10">
        <f t="shared" si="76"/>
        <v>547</v>
      </c>
      <c r="C393" s="24" t="str">
        <f t="shared" ref="C393" si="107">DEC2HEX(B393,4)</f>
        <v>0223</v>
      </c>
      <c r="D393" s="2" t="str">
        <f t="shared" si="96"/>
        <v>BU</v>
      </c>
      <c r="E393" s="2" t="s">
        <v>285</v>
      </c>
      <c r="F393" s="20" t="str">
        <f t="shared" si="97"/>
        <v>CRTC 0 : R0 = 0</v>
      </c>
      <c r="G393" s="2"/>
    </row>
    <row r="394" spans="1:7">
      <c r="A394" s="22">
        <f t="shared" ref="A394:A457" si="108">A393+1</f>
        <v>386</v>
      </c>
      <c r="B394" s="10">
        <f t="shared" si="76"/>
        <v>548</v>
      </c>
      <c r="C394" s="24" t="str">
        <f t="shared" ref="C394" si="109">DEC2HEX(B394,4)</f>
        <v>0224</v>
      </c>
      <c r="D394" s="2" t="str">
        <f t="shared" si="96"/>
        <v>BU</v>
      </c>
      <c r="E394" s="2" t="s">
        <v>286</v>
      </c>
      <c r="F394" s="20" t="str">
        <f t="shared" si="97"/>
        <v>CRTC 0 : R0 = 0</v>
      </c>
      <c r="G394" s="2"/>
    </row>
    <row r="395" spans="1:7">
      <c r="A395" s="22">
        <f t="shared" si="108"/>
        <v>387</v>
      </c>
      <c r="B395" s="10">
        <f t="shared" si="76"/>
        <v>549</v>
      </c>
      <c r="C395" s="24" t="str">
        <f t="shared" ref="C395" si="110">DEC2HEX(B395,4)</f>
        <v>0225</v>
      </c>
      <c r="D395" s="2" t="str">
        <f t="shared" si="96"/>
        <v>BU</v>
      </c>
      <c r="E395" s="2" t="s">
        <v>287</v>
      </c>
      <c r="F395" s="20" t="str">
        <f t="shared" si="97"/>
        <v>CRTC 0 : R0 = 0</v>
      </c>
      <c r="G395" s="2"/>
    </row>
    <row r="396" spans="1:7">
      <c r="A396" s="22">
        <f t="shared" si="108"/>
        <v>388</v>
      </c>
      <c r="B396" s="10">
        <f t="shared" si="76"/>
        <v>550</v>
      </c>
      <c r="C396" s="24" t="str">
        <f t="shared" ref="C396" si="111">DEC2HEX(B396,4)</f>
        <v>0226</v>
      </c>
      <c r="D396" s="2" t="str">
        <f t="shared" si="96"/>
        <v>BU</v>
      </c>
      <c r="E396" s="21" t="s">
        <v>288</v>
      </c>
      <c r="F396" s="20" t="str">
        <f t="shared" si="97"/>
        <v>CRTC 0 : R0 = 0</v>
      </c>
      <c r="G396" s="2"/>
    </row>
    <row r="397" spans="1:7">
      <c r="A397" s="22">
        <f t="shared" si="108"/>
        <v>389</v>
      </c>
      <c r="B397" s="10">
        <f t="shared" si="76"/>
        <v>551</v>
      </c>
      <c r="C397" s="24" t="str">
        <f t="shared" ref="C397" si="112">DEC2HEX(B397,4)</f>
        <v>0227</v>
      </c>
      <c r="D397" s="2" t="str">
        <f t="shared" si="96"/>
        <v>BU</v>
      </c>
      <c r="E397" s="21" t="s">
        <v>289</v>
      </c>
      <c r="F397" s="20" t="str">
        <f t="shared" si="97"/>
        <v>CRTC 0 : R0 = 0</v>
      </c>
      <c r="G397" s="2"/>
    </row>
    <row r="398" spans="1:7">
      <c r="A398" s="22">
        <f t="shared" si="108"/>
        <v>390</v>
      </c>
      <c r="B398" s="10">
        <f t="shared" si="76"/>
        <v>552</v>
      </c>
      <c r="C398" s="24" t="str">
        <f t="shared" ref="C398" si="113">DEC2HEX(B398,4)</f>
        <v>0228</v>
      </c>
      <c r="D398" s="2" t="str">
        <f t="shared" si="96"/>
        <v>BU</v>
      </c>
      <c r="E398" s="21" t="s">
        <v>290</v>
      </c>
      <c r="F398" s="20" t="str">
        <f t="shared" si="97"/>
        <v>CRTC 0 : R0 = 0</v>
      </c>
      <c r="G398" s="2"/>
    </row>
    <row r="399" spans="1:7">
      <c r="A399" s="22">
        <f t="shared" si="108"/>
        <v>391</v>
      </c>
      <c r="B399" s="10">
        <f t="shared" si="76"/>
        <v>553</v>
      </c>
      <c r="C399" s="24" t="str">
        <f t="shared" ref="C399" si="114">DEC2HEX(B399,4)</f>
        <v>0229</v>
      </c>
      <c r="D399" s="2" t="str">
        <f t="shared" si="96"/>
        <v>BU</v>
      </c>
      <c r="E399" s="21" t="s">
        <v>291</v>
      </c>
      <c r="F399" s="20" t="str">
        <f t="shared" si="97"/>
        <v>CRTC 0 : R0 = 0</v>
      </c>
      <c r="G399" s="2"/>
    </row>
    <row r="400" spans="1:7">
      <c r="A400" s="22">
        <f t="shared" si="108"/>
        <v>392</v>
      </c>
      <c r="B400" s="10">
        <f t="shared" si="76"/>
        <v>554</v>
      </c>
      <c r="C400" s="24" t="str">
        <f t="shared" ref="C400" si="115">DEC2HEX(B400,4)</f>
        <v>022A</v>
      </c>
      <c r="D400" s="2" t="s">
        <v>44</v>
      </c>
      <c r="E400" s="21" t="s">
        <v>1</v>
      </c>
      <c r="F400" s="20" t="s">
        <v>293</v>
      </c>
      <c r="G400" s="2"/>
    </row>
    <row r="401" spans="1:7">
      <c r="A401" s="22">
        <f t="shared" si="108"/>
        <v>393</v>
      </c>
      <c r="B401" s="10">
        <f t="shared" si="76"/>
        <v>555</v>
      </c>
      <c r="C401" s="24" t="str">
        <f t="shared" ref="C401" si="116">DEC2HEX(B401,4)</f>
        <v>022B</v>
      </c>
      <c r="D401" s="2" t="str">
        <f>D400</f>
        <v>C2</v>
      </c>
      <c r="E401" s="21" t="s">
        <v>2</v>
      </c>
      <c r="F401" s="20" t="str">
        <f>F400</f>
        <v>CRTC 1 : IVM ON ODD C9</v>
      </c>
      <c r="G401" s="2"/>
    </row>
    <row r="402" spans="1:7">
      <c r="A402" s="22">
        <f t="shared" si="108"/>
        <v>394</v>
      </c>
      <c r="B402" s="10">
        <f t="shared" si="76"/>
        <v>556</v>
      </c>
      <c r="C402" s="24" t="str">
        <f t="shared" ref="C402" si="117">DEC2HEX(B402,4)</f>
        <v>022C</v>
      </c>
      <c r="D402" s="2" t="str">
        <f t="shared" ref="D402:D417" si="118">D401</f>
        <v>C2</v>
      </c>
      <c r="E402" s="21" t="s">
        <v>19</v>
      </c>
      <c r="F402" s="20" t="str">
        <f t="shared" ref="F402:F417" si="119">F401</f>
        <v>CRTC 1 : IVM ON ODD C9</v>
      </c>
      <c r="G402" s="2"/>
    </row>
    <row r="403" spans="1:7">
      <c r="A403" s="22">
        <f t="shared" si="108"/>
        <v>395</v>
      </c>
      <c r="B403" s="10">
        <f t="shared" si="76"/>
        <v>557</v>
      </c>
      <c r="C403" s="24" t="str">
        <f t="shared" ref="C403" si="120">DEC2HEX(B403,4)</f>
        <v>022D</v>
      </c>
      <c r="D403" s="2" t="str">
        <f t="shared" si="118"/>
        <v>C2</v>
      </c>
      <c r="E403" s="21" t="s">
        <v>20</v>
      </c>
      <c r="F403" s="20" t="str">
        <f t="shared" si="119"/>
        <v>CRTC 1 : IVM ON ODD C9</v>
      </c>
      <c r="G403" s="2"/>
    </row>
    <row r="404" spans="1:7">
      <c r="A404" s="22">
        <f t="shared" si="108"/>
        <v>396</v>
      </c>
      <c r="B404" s="10">
        <f t="shared" si="76"/>
        <v>558</v>
      </c>
      <c r="C404" s="24" t="str">
        <f t="shared" ref="C404" si="121">DEC2HEX(B404,4)</f>
        <v>022E</v>
      </c>
      <c r="D404" s="2" t="str">
        <f t="shared" si="118"/>
        <v>C2</v>
      </c>
      <c r="E404" s="21" t="s">
        <v>43</v>
      </c>
      <c r="F404" s="20" t="str">
        <f t="shared" si="119"/>
        <v>CRTC 1 : IVM ON ODD C9</v>
      </c>
      <c r="G404" s="2"/>
    </row>
    <row r="405" spans="1:7">
      <c r="A405" s="22">
        <f t="shared" si="108"/>
        <v>397</v>
      </c>
      <c r="B405" s="10">
        <f t="shared" si="76"/>
        <v>559</v>
      </c>
      <c r="C405" s="24" t="str">
        <f t="shared" ref="C405" si="122">DEC2HEX(B405,4)</f>
        <v>022F</v>
      </c>
      <c r="D405" s="2" t="str">
        <f t="shared" si="118"/>
        <v>C2</v>
      </c>
      <c r="E405" s="21" t="s">
        <v>44</v>
      </c>
      <c r="F405" s="20" t="str">
        <f t="shared" si="119"/>
        <v>CRTC 1 : IVM ON ODD C9</v>
      </c>
      <c r="G405" s="2"/>
    </row>
    <row r="406" spans="1:7">
      <c r="A406" s="22">
        <f t="shared" si="108"/>
        <v>398</v>
      </c>
      <c r="B406" s="10">
        <f t="shared" si="76"/>
        <v>560</v>
      </c>
      <c r="C406" s="24" t="str">
        <f t="shared" ref="C406" si="123">DEC2HEX(B406,4)</f>
        <v>0230</v>
      </c>
      <c r="D406" s="2" t="str">
        <f t="shared" si="118"/>
        <v>C2</v>
      </c>
      <c r="E406" s="21" t="s">
        <v>45</v>
      </c>
      <c r="F406" s="20" t="str">
        <f t="shared" si="119"/>
        <v>CRTC 1 : IVM ON ODD C9</v>
      </c>
      <c r="G406" s="2"/>
    </row>
    <row r="407" spans="1:7">
      <c r="A407" s="22">
        <f t="shared" si="108"/>
        <v>399</v>
      </c>
      <c r="B407" s="10">
        <f t="shared" si="76"/>
        <v>561</v>
      </c>
      <c r="C407" s="24" t="str">
        <f t="shared" ref="C407" si="124">DEC2HEX(B407,4)</f>
        <v>0231</v>
      </c>
      <c r="D407" s="2" t="str">
        <f t="shared" si="118"/>
        <v>C2</v>
      </c>
      <c r="E407" s="21" t="s">
        <v>46</v>
      </c>
      <c r="F407" s="20" t="str">
        <f t="shared" si="119"/>
        <v>CRTC 1 : IVM ON ODD C9</v>
      </c>
      <c r="G407" s="2"/>
    </row>
    <row r="408" spans="1:7">
      <c r="A408" s="22">
        <f t="shared" si="108"/>
        <v>400</v>
      </c>
      <c r="B408" s="10">
        <f t="shared" si="76"/>
        <v>562</v>
      </c>
      <c r="C408" s="24" t="str">
        <f t="shared" ref="C408" si="125">DEC2HEX(B408,4)</f>
        <v>0232</v>
      </c>
      <c r="D408" s="2" t="str">
        <f t="shared" si="118"/>
        <v>C2</v>
      </c>
      <c r="E408" s="21" t="s">
        <v>47</v>
      </c>
      <c r="F408" s="20" t="str">
        <f t="shared" si="119"/>
        <v>CRTC 1 : IVM ON ODD C9</v>
      </c>
      <c r="G408" s="2"/>
    </row>
    <row r="409" spans="1:7">
      <c r="A409" s="22">
        <f t="shared" si="108"/>
        <v>401</v>
      </c>
      <c r="B409" s="10">
        <f t="shared" si="76"/>
        <v>563</v>
      </c>
      <c r="C409" s="24" t="str">
        <f t="shared" ref="C409" si="126">DEC2HEX(B409,4)</f>
        <v>0233</v>
      </c>
      <c r="D409" s="2" t="str">
        <f t="shared" si="118"/>
        <v>C2</v>
      </c>
      <c r="E409" s="21" t="s">
        <v>48</v>
      </c>
      <c r="F409" s="20" t="str">
        <f t="shared" si="119"/>
        <v>CRTC 1 : IVM ON ODD C9</v>
      </c>
      <c r="G409" s="2"/>
    </row>
    <row r="410" spans="1:7">
      <c r="A410" s="22">
        <f t="shared" si="108"/>
        <v>402</v>
      </c>
      <c r="B410" s="10">
        <f t="shared" si="76"/>
        <v>564</v>
      </c>
      <c r="C410" s="24" t="str">
        <f t="shared" ref="C410" si="127">DEC2HEX(B410,4)</f>
        <v>0234</v>
      </c>
      <c r="D410" s="2" t="str">
        <f t="shared" si="118"/>
        <v>C2</v>
      </c>
      <c r="E410" s="21" t="s">
        <v>49</v>
      </c>
      <c r="F410" s="20" t="str">
        <f t="shared" si="119"/>
        <v>CRTC 1 : IVM ON ODD C9</v>
      </c>
      <c r="G410" s="2"/>
    </row>
    <row r="411" spans="1:7">
      <c r="A411" s="22">
        <f t="shared" si="108"/>
        <v>403</v>
      </c>
      <c r="B411" s="10">
        <f t="shared" si="76"/>
        <v>565</v>
      </c>
      <c r="C411" s="24" t="str">
        <f t="shared" ref="C411" si="128">DEC2HEX(B411,4)</f>
        <v>0235</v>
      </c>
      <c r="D411" s="2" t="str">
        <f t="shared" si="118"/>
        <v>C2</v>
      </c>
      <c r="E411" s="2" t="s">
        <v>50</v>
      </c>
      <c r="F411" s="20" t="str">
        <f t="shared" si="119"/>
        <v>CRTC 1 : IVM ON ODD C9</v>
      </c>
      <c r="G411" s="2"/>
    </row>
    <row r="412" spans="1:7">
      <c r="A412" s="22">
        <f t="shared" si="108"/>
        <v>404</v>
      </c>
      <c r="B412" s="10">
        <f t="shared" si="76"/>
        <v>566</v>
      </c>
      <c r="C412" s="24" t="str">
        <f t="shared" ref="C412" si="129">DEC2HEX(B412,4)</f>
        <v>0236</v>
      </c>
      <c r="D412" s="2" t="str">
        <f t="shared" si="118"/>
        <v>C2</v>
      </c>
      <c r="E412" s="2" t="s">
        <v>51</v>
      </c>
      <c r="F412" s="20" t="str">
        <f t="shared" si="119"/>
        <v>CRTC 1 : IVM ON ODD C9</v>
      </c>
      <c r="G412" s="2"/>
    </row>
    <row r="413" spans="1:7">
      <c r="A413" s="22">
        <f t="shared" si="108"/>
        <v>405</v>
      </c>
      <c r="B413" s="10">
        <f t="shared" si="76"/>
        <v>567</v>
      </c>
      <c r="C413" s="24" t="str">
        <f t="shared" ref="C413" si="130">DEC2HEX(B413,4)</f>
        <v>0237</v>
      </c>
      <c r="D413" s="2" t="str">
        <f t="shared" si="118"/>
        <v>C2</v>
      </c>
      <c r="E413" s="2" t="s">
        <v>52</v>
      </c>
      <c r="F413" s="20" t="str">
        <f t="shared" si="119"/>
        <v>CRTC 1 : IVM ON ODD C9</v>
      </c>
      <c r="G413" s="2"/>
    </row>
    <row r="414" spans="1:7">
      <c r="A414" s="22">
        <f t="shared" si="108"/>
        <v>406</v>
      </c>
      <c r="B414" s="10">
        <f t="shared" si="76"/>
        <v>568</v>
      </c>
      <c r="C414" s="24" t="str">
        <f t="shared" ref="C414" si="131">DEC2HEX(B414,4)</f>
        <v>0238</v>
      </c>
      <c r="D414" s="2" t="str">
        <f t="shared" si="118"/>
        <v>C2</v>
      </c>
      <c r="E414" s="2" t="s">
        <v>53</v>
      </c>
      <c r="F414" s="20" t="str">
        <f t="shared" si="119"/>
        <v>CRTC 1 : IVM ON ODD C9</v>
      </c>
      <c r="G414" s="2"/>
    </row>
    <row r="415" spans="1:7">
      <c r="A415" s="22">
        <f t="shared" si="108"/>
        <v>407</v>
      </c>
      <c r="B415" s="10">
        <f t="shared" si="76"/>
        <v>569</v>
      </c>
      <c r="C415" s="25" t="str">
        <f t="shared" ref="C415" si="132">DEC2HEX(B415,4)</f>
        <v>0239</v>
      </c>
      <c r="D415" s="2" t="str">
        <f t="shared" si="118"/>
        <v>C2</v>
      </c>
      <c r="E415" s="2" t="s">
        <v>54</v>
      </c>
      <c r="F415" s="20" t="str">
        <f t="shared" si="119"/>
        <v>CRTC 1 : IVM ON ODD C9</v>
      </c>
      <c r="G415" s="2"/>
    </row>
    <row r="416" spans="1:7">
      <c r="A416" s="22">
        <f t="shared" si="108"/>
        <v>408</v>
      </c>
      <c r="B416" s="10">
        <f t="shared" si="76"/>
        <v>570</v>
      </c>
      <c r="C416" s="24" t="str">
        <f t="shared" ref="C416" si="133">DEC2HEX(B416,4)</f>
        <v>023A</v>
      </c>
      <c r="D416" s="2" t="str">
        <f t="shared" si="118"/>
        <v>C2</v>
      </c>
      <c r="E416" s="2" t="s">
        <v>55</v>
      </c>
      <c r="F416" s="20" t="str">
        <f t="shared" si="119"/>
        <v>CRTC 1 : IVM ON ODD C9</v>
      </c>
      <c r="G416" s="2"/>
    </row>
    <row r="417" spans="1:7">
      <c r="A417" s="22">
        <f t="shared" si="108"/>
        <v>409</v>
      </c>
      <c r="B417" s="10">
        <f t="shared" si="76"/>
        <v>571</v>
      </c>
      <c r="C417" s="24" t="str">
        <f t="shared" ref="C417" si="134">DEC2HEX(B417,4)</f>
        <v>023B</v>
      </c>
      <c r="D417" s="2" t="str">
        <f t="shared" si="118"/>
        <v>C2</v>
      </c>
      <c r="E417" s="21" t="s">
        <v>56</v>
      </c>
      <c r="F417" s="20" t="str">
        <f t="shared" si="119"/>
        <v>CRTC 1 : IVM ON ODD C9</v>
      </c>
      <c r="G417" s="2"/>
    </row>
    <row r="418" spans="1:7">
      <c r="A418" s="22">
        <f t="shared" si="108"/>
        <v>410</v>
      </c>
      <c r="B418" s="18">
        <f t="shared" si="76"/>
        <v>572</v>
      </c>
      <c r="C418" s="24" t="str">
        <f t="shared" ref="C418" si="135">DEC2HEX(B418,4)</f>
        <v>023C</v>
      </c>
      <c r="D418" s="2" t="s">
        <v>273</v>
      </c>
      <c r="E418" s="21" t="s">
        <v>29</v>
      </c>
      <c r="F418" s="20" t="s">
        <v>294</v>
      </c>
      <c r="G418" s="19"/>
    </row>
    <row r="419" spans="1:7">
      <c r="A419" s="22">
        <f t="shared" si="108"/>
        <v>411</v>
      </c>
      <c r="B419" s="10">
        <f t="shared" si="76"/>
        <v>573</v>
      </c>
      <c r="C419" s="24" t="str">
        <f t="shared" ref="C419" si="136">DEC2HEX(B419,4)</f>
        <v>023D</v>
      </c>
      <c r="D419" s="2" t="s">
        <v>274</v>
      </c>
      <c r="E419" s="21" t="s">
        <v>29</v>
      </c>
      <c r="F419" s="20" t="s">
        <v>295</v>
      </c>
      <c r="G419" s="2"/>
    </row>
    <row r="420" spans="1:7">
      <c r="A420" s="22">
        <f t="shared" si="108"/>
        <v>412</v>
      </c>
      <c r="B420" s="10">
        <f t="shared" si="76"/>
        <v>574</v>
      </c>
      <c r="C420" s="24" t="str">
        <f t="shared" ref="C420" si="137">DEC2HEX(B420,4)</f>
        <v>023E</v>
      </c>
      <c r="D420" s="2" t="str">
        <f>D419</f>
        <v>C4</v>
      </c>
      <c r="E420" s="21" t="s">
        <v>30</v>
      </c>
      <c r="F420" s="20" t="str">
        <f>F419</f>
        <v>CRTC 1 : IVM ON/OFF</v>
      </c>
      <c r="G420" s="2"/>
    </row>
    <row r="421" spans="1:7">
      <c r="A421" s="22">
        <f t="shared" si="108"/>
        <v>413</v>
      </c>
      <c r="B421" s="10">
        <f t="shared" si="76"/>
        <v>575</v>
      </c>
      <c r="C421" s="24" t="str">
        <f t="shared" ref="C421" si="138">DEC2HEX(B421,4)</f>
        <v>023F</v>
      </c>
      <c r="D421" s="2" t="str">
        <f t="shared" ref="D421:D452" si="139">D420</f>
        <v>C4</v>
      </c>
      <c r="E421" s="21" t="s">
        <v>31</v>
      </c>
      <c r="F421" s="20" t="str">
        <f t="shared" ref="F421:F452" si="140">F420</f>
        <v>CRTC 1 : IVM ON/OFF</v>
      </c>
      <c r="G421" s="2"/>
    </row>
    <row r="422" spans="1:7">
      <c r="A422" s="22">
        <f t="shared" si="108"/>
        <v>414</v>
      </c>
      <c r="B422" s="10">
        <f>B421+64</f>
        <v>639</v>
      </c>
      <c r="C422" s="24" t="str">
        <f t="shared" ref="C422" si="141">DEC2HEX(B422,4)</f>
        <v>027F</v>
      </c>
      <c r="D422" s="2" t="str">
        <f t="shared" si="139"/>
        <v>C4</v>
      </c>
      <c r="E422" s="21" t="s">
        <v>32</v>
      </c>
      <c r="F422" s="20" t="str">
        <f t="shared" si="140"/>
        <v>CRTC 1 : IVM ON/OFF</v>
      </c>
      <c r="G422" s="2"/>
    </row>
    <row r="423" spans="1:7">
      <c r="A423" s="22">
        <f t="shared" si="108"/>
        <v>415</v>
      </c>
      <c r="B423" s="10">
        <f t="shared" si="76"/>
        <v>640</v>
      </c>
      <c r="C423" s="24" t="str">
        <f t="shared" ref="C423" si="142">DEC2HEX(B423,4)</f>
        <v>0280</v>
      </c>
      <c r="D423" s="2" t="str">
        <f t="shared" si="139"/>
        <v>C4</v>
      </c>
      <c r="E423" s="21" t="s">
        <v>33</v>
      </c>
      <c r="F423" s="20" t="str">
        <f t="shared" si="140"/>
        <v>CRTC 1 : IVM ON/OFF</v>
      </c>
      <c r="G423" s="2"/>
    </row>
    <row r="424" spans="1:7">
      <c r="A424" s="22">
        <f t="shared" si="108"/>
        <v>416</v>
      </c>
      <c r="B424" s="10">
        <f t="shared" si="76"/>
        <v>641</v>
      </c>
      <c r="C424" s="24" t="str">
        <f t="shared" ref="C424" si="143">DEC2HEX(B424,4)</f>
        <v>0281</v>
      </c>
      <c r="D424" s="2" t="str">
        <f t="shared" si="139"/>
        <v>C4</v>
      </c>
      <c r="E424" s="21" t="s">
        <v>106</v>
      </c>
      <c r="F424" s="20" t="str">
        <f t="shared" si="140"/>
        <v>CRTC 1 : IVM ON/OFF</v>
      </c>
      <c r="G424" s="2"/>
    </row>
    <row r="425" spans="1:7">
      <c r="A425" s="22">
        <f t="shared" si="108"/>
        <v>417</v>
      </c>
      <c r="B425" s="10">
        <f t="shared" si="76"/>
        <v>642</v>
      </c>
      <c r="C425" s="24" t="str">
        <f t="shared" ref="C425" si="144">DEC2HEX(B425,4)</f>
        <v>0282</v>
      </c>
      <c r="D425" s="2" t="str">
        <f t="shared" si="139"/>
        <v>C4</v>
      </c>
      <c r="E425" s="21" t="s">
        <v>107</v>
      </c>
      <c r="F425" s="20" t="str">
        <f t="shared" si="140"/>
        <v>CRTC 1 : IVM ON/OFF</v>
      </c>
      <c r="G425" s="2"/>
    </row>
    <row r="426" spans="1:7">
      <c r="A426" s="22">
        <f t="shared" si="108"/>
        <v>418</v>
      </c>
      <c r="B426" s="10">
        <f>B425+1</f>
        <v>643</v>
      </c>
      <c r="C426" s="24" t="str">
        <f t="shared" ref="C426" si="145">DEC2HEX(B426,4)</f>
        <v>0283</v>
      </c>
      <c r="D426" s="2" t="str">
        <f t="shared" si="139"/>
        <v>C4</v>
      </c>
      <c r="E426" s="21" t="s">
        <v>108</v>
      </c>
      <c r="F426" s="20" t="str">
        <f t="shared" si="140"/>
        <v>CRTC 1 : IVM ON/OFF</v>
      </c>
      <c r="G426" s="2"/>
    </row>
    <row r="427" spans="1:7">
      <c r="A427" s="22">
        <f t="shared" si="108"/>
        <v>419</v>
      </c>
      <c r="B427" s="10">
        <f>B426+1</f>
        <v>644</v>
      </c>
      <c r="C427" s="24" t="str">
        <f t="shared" ref="C427" si="146">DEC2HEX(B427,4)</f>
        <v>0284</v>
      </c>
      <c r="D427" s="2" t="str">
        <f t="shared" si="139"/>
        <v>C4</v>
      </c>
      <c r="E427" s="21" t="s">
        <v>109</v>
      </c>
      <c r="F427" s="20" t="str">
        <f t="shared" si="140"/>
        <v>CRTC 1 : IVM ON/OFF</v>
      </c>
      <c r="G427" s="2"/>
    </row>
    <row r="428" spans="1:7">
      <c r="A428" s="22">
        <f t="shared" si="108"/>
        <v>420</v>
      </c>
      <c r="B428" s="10">
        <f t="shared" ref="B428:B458" si="147">B427+1</f>
        <v>645</v>
      </c>
      <c r="C428" s="24" t="str">
        <f t="shared" ref="C428" si="148">DEC2HEX(B428,4)</f>
        <v>0285</v>
      </c>
      <c r="D428" s="2" t="str">
        <f t="shared" si="139"/>
        <v>C4</v>
      </c>
      <c r="E428" s="21" t="s">
        <v>57</v>
      </c>
      <c r="F428" s="20" t="str">
        <f t="shared" si="140"/>
        <v>CRTC 1 : IVM ON/OFF</v>
      </c>
      <c r="G428" s="2"/>
    </row>
    <row r="429" spans="1:7">
      <c r="A429" s="22">
        <f t="shared" si="108"/>
        <v>421</v>
      </c>
      <c r="B429" s="10">
        <f t="shared" si="147"/>
        <v>646</v>
      </c>
      <c r="C429" s="24" t="str">
        <f t="shared" ref="C429" si="149">DEC2HEX(B429,4)</f>
        <v>0286</v>
      </c>
      <c r="D429" s="2" t="str">
        <f t="shared" si="139"/>
        <v>C4</v>
      </c>
      <c r="E429" s="21" t="s">
        <v>58</v>
      </c>
      <c r="F429" s="20" t="str">
        <f t="shared" si="140"/>
        <v>CRTC 1 : IVM ON/OFF</v>
      </c>
      <c r="G429" s="2"/>
    </row>
    <row r="430" spans="1:7">
      <c r="A430" s="22">
        <f t="shared" si="108"/>
        <v>422</v>
      </c>
      <c r="B430" s="10">
        <f t="shared" si="147"/>
        <v>647</v>
      </c>
      <c r="C430" s="24" t="str">
        <f t="shared" ref="C430" si="150">DEC2HEX(B430,4)</f>
        <v>0287</v>
      </c>
      <c r="D430" s="2" t="str">
        <f t="shared" si="139"/>
        <v>C4</v>
      </c>
      <c r="E430" s="21" t="s">
        <v>59</v>
      </c>
      <c r="F430" s="20" t="str">
        <f t="shared" si="140"/>
        <v>CRTC 1 : IVM ON/OFF</v>
      </c>
      <c r="G430" s="2"/>
    </row>
    <row r="431" spans="1:7">
      <c r="A431" s="22">
        <f t="shared" si="108"/>
        <v>423</v>
      </c>
      <c r="B431" s="10">
        <f t="shared" si="147"/>
        <v>648</v>
      </c>
      <c r="C431" s="24" t="str">
        <f t="shared" ref="C431" si="151">DEC2HEX(B431,4)</f>
        <v>0288</v>
      </c>
      <c r="D431" s="2" t="str">
        <f t="shared" si="139"/>
        <v>C4</v>
      </c>
      <c r="E431" s="21" t="s">
        <v>60</v>
      </c>
      <c r="F431" s="20" t="str">
        <f t="shared" si="140"/>
        <v>CRTC 1 : IVM ON/OFF</v>
      </c>
      <c r="G431" s="2"/>
    </row>
    <row r="432" spans="1:7">
      <c r="A432" s="22">
        <f t="shared" si="108"/>
        <v>424</v>
      </c>
      <c r="B432" s="10">
        <f t="shared" si="147"/>
        <v>649</v>
      </c>
      <c r="C432" s="24" t="str">
        <f t="shared" ref="C432" si="152">DEC2HEX(B432,4)</f>
        <v>0289</v>
      </c>
      <c r="D432" s="2" t="str">
        <f t="shared" si="139"/>
        <v>C4</v>
      </c>
      <c r="E432" s="21" t="s">
        <v>284</v>
      </c>
      <c r="F432" s="20" t="str">
        <f t="shared" si="140"/>
        <v>CRTC 1 : IVM ON/OFF</v>
      </c>
      <c r="G432" s="2"/>
    </row>
    <row r="433" spans="1:7">
      <c r="A433" s="22">
        <f t="shared" si="108"/>
        <v>425</v>
      </c>
      <c r="B433" s="10">
        <f t="shared" si="147"/>
        <v>650</v>
      </c>
      <c r="C433" s="24" t="str">
        <f t="shared" ref="C433" si="153">DEC2HEX(B433,4)</f>
        <v>028A</v>
      </c>
      <c r="D433" s="2" t="str">
        <f t="shared" si="139"/>
        <v>C4</v>
      </c>
      <c r="E433" s="21" t="s">
        <v>285</v>
      </c>
      <c r="F433" s="20" t="str">
        <f t="shared" si="140"/>
        <v>CRTC 1 : IVM ON/OFF</v>
      </c>
      <c r="G433" s="2"/>
    </row>
    <row r="434" spans="1:7">
      <c r="A434" s="22">
        <f t="shared" si="108"/>
        <v>426</v>
      </c>
      <c r="B434" s="10">
        <f t="shared" si="147"/>
        <v>651</v>
      </c>
      <c r="C434" s="24" t="str">
        <f t="shared" ref="C434" si="154">DEC2HEX(B434,4)</f>
        <v>028B</v>
      </c>
      <c r="D434" s="2" t="str">
        <f t="shared" si="139"/>
        <v>C4</v>
      </c>
      <c r="E434" s="19" t="s">
        <v>286</v>
      </c>
      <c r="F434" s="20" t="str">
        <f t="shared" si="140"/>
        <v>CRTC 1 : IVM ON/OFF</v>
      </c>
      <c r="G434" s="2"/>
    </row>
    <row r="435" spans="1:7">
      <c r="A435" s="22">
        <f t="shared" si="108"/>
        <v>427</v>
      </c>
      <c r="B435" s="10">
        <f t="shared" si="147"/>
        <v>652</v>
      </c>
      <c r="C435" s="24" t="str">
        <f t="shared" ref="C435" si="155">DEC2HEX(B435,4)</f>
        <v>028C</v>
      </c>
      <c r="D435" s="2" t="str">
        <f t="shared" si="139"/>
        <v>C4</v>
      </c>
      <c r="E435" s="2" t="s">
        <v>287</v>
      </c>
      <c r="F435" s="20" t="str">
        <f t="shared" si="140"/>
        <v>CRTC 1 : IVM ON/OFF</v>
      </c>
      <c r="G435" s="2"/>
    </row>
    <row r="436" spans="1:7">
      <c r="A436" s="22">
        <f t="shared" si="108"/>
        <v>428</v>
      </c>
      <c r="B436" s="10">
        <f t="shared" si="147"/>
        <v>653</v>
      </c>
      <c r="C436" s="24" t="str">
        <f t="shared" ref="C436" si="156">DEC2HEX(B436,4)</f>
        <v>028D</v>
      </c>
      <c r="D436" s="2" t="str">
        <f t="shared" si="139"/>
        <v>C4</v>
      </c>
      <c r="E436" s="2" t="s">
        <v>288</v>
      </c>
      <c r="F436" s="20" t="str">
        <f t="shared" si="140"/>
        <v>CRTC 1 : IVM ON/OFF</v>
      </c>
      <c r="G436" s="2"/>
    </row>
    <row r="437" spans="1:7">
      <c r="A437" s="22">
        <f t="shared" si="108"/>
        <v>429</v>
      </c>
      <c r="B437" s="10">
        <f t="shared" si="147"/>
        <v>654</v>
      </c>
      <c r="C437" s="24" t="str">
        <f t="shared" ref="C437" si="157">DEC2HEX(B437,4)</f>
        <v>028E</v>
      </c>
      <c r="D437" s="2" t="str">
        <f t="shared" si="139"/>
        <v>C4</v>
      </c>
      <c r="E437" s="2" t="s">
        <v>289</v>
      </c>
      <c r="F437" s="20" t="str">
        <f t="shared" si="140"/>
        <v>CRTC 1 : IVM ON/OFF</v>
      </c>
      <c r="G437" s="2"/>
    </row>
    <row r="438" spans="1:7">
      <c r="A438" s="22">
        <f t="shared" si="108"/>
        <v>430</v>
      </c>
      <c r="B438" s="10">
        <f t="shared" si="147"/>
        <v>655</v>
      </c>
      <c r="C438" s="24" t="str">
        <f t="shared" ref="C438" si="158">DEC2HEX(B438,4)</f>
        <v>028F</v>
      </c>
      <c r="D438" s="2" t="str">
        <f t="shared" si="139"/>
        <v>C4</v>
      </c>
      <c r="E438" s="2" t="s">
        <v>290</v>
      </c>
      <c r="F438" s="20" t="str">
        <f t="shared" si="140"/>
        <v>CRTC 1 : IVM ON/OFF</v>
      </c>
      <c r="G438" s="2"/>
    </row>
    <row r="439" spans="1:7">
      <c r="A439" s="22">
        <f t="shared" si="108"/>
        <v>431</v>
      </c>
      <c r="B439" s="10">
        <f t="shared" si="147"/>
        <v>656</v>
      </c>
      <c r="C439" s="24" t="str">
        <f t="shared" ref="C439" si="159">DEC2HEX(B439,4)</f>
        <v>0290</v>
      </c>
      <c r="D439" s="2" t="str">
        <f t="shared" si="139"/>
        <v>C4</v>
      </c>
      <c r="E439" s="19" t="s">
        <v>291</v>
      </c>
      <c r="F439" s="20" t="str">
        <f t="shared" si="140"/>
        <v>CRTC 1 : IVM ON/OFF</v>
      </c>
      <c r="G439" s="2"/>
    </row>
    <row r="440" spans="1:7">
      <c r="A440" s="22">
        <f t="shared" si="108"/>
        <v>432</v>
      </c>
      <c r="B440" s="10">
        <f t="shared" si="147"/>
        <v>657</v>
      </c>
      <c r="C440" s="24" t="str">
        <f t="shared" ref="C440" si="160">DEC2HEX(B440,4)</f>
        <v>0291</v>
      </c>
      <c r="D440" s="2" t="str">
        <f t="shared" si="139"/>
        <v>C4</v>
      </c>
      <c r="E440" s="2" t="s">
        <v>296</v>
      </c>
      <c r="F440" s="20" t="str">
        <f t="shared" si="140"/>
        <v>CRTC 1 : IVM ON/OFF</v>
      </c>
      <c r="G440" s="2"/>
    </row>
    <row r="441" spans="1:7">
      <c r="A441" s="22">
        <f t="shared" si="108"/>
        <v>433</v>
      </c>
      <c r="B441" s="10">
        <f t="shared" si="147"/>
        <v>658</v>
      </c>
      <c r="C441" s="24" t="str">
        <f t="shared" ref="C441" si="161">DEC2HEX(B441,4)</f>
        <v>0292</v>
      </c>
      <c r="D441" s="2" t="str">
        <f t="shared" si="139"/>
        <v>C4</v>
      </c>
      <c r="E441" s="2" t="s">
        <v>297</v>
      </c>
      <c r="F441" s="20" t="str">
        <f t="shared" si="140"/>
        <v>CRTC 1 : IVM ON/OFF</v>
      </c>
      <c r="G441" s="2"/>
    </row>
    <row r="442" spans="1:7">
      <c r="A442" s="22">
        <f t="shared" si="108"/>
        <v>434</v>
      </c>
      <c r="B442" s="10">
        <f t="shared" si="147"/>
        <v>659</v>
      </c>
      <c r="C442" s="24" t="str">
        <f t="shared" ref="C442" si="162">DEC2HEX(B442,4)</f>
        <v>0293</v>
      </c>
      <c r="D442" s="2" t="str">
        <f t="shared" si="139"/>
        <v>C4</v>
      </c>
      <c r="E442" s="2" t="s">
        <v>249</v>
      </c>
      <c r="F442" s="20" t="str">
        <f t="shared" si="140"/>
        <v>CRTC 1 : IVM ON/OFF</v>
      </c>
      <c r="G442" s="2"/>
    </row>
    <row r="443" spans="1:7">
      <c r="A443" s="22">
        <f t="shared" si="108"/>
        <v>435</v>
      </c>
      <c r="B443" s="10">
        <f t="shared" si="147"/>
        <v>660</v>
      </c>
      <c r="C443" s="24" t="str">
        <f t="shared" ref="C443" si="163">DEC2HEX(B443,4)</f>
        <v>0294</v>
      </c>
      <c r="D443" s="2" t="str">
        <f t="shared" si="139"/>
        <v>C4</v>
      </c>
      <c r="E443" s="2" t="s">
        <v>298</v>
      </c>
      <c r="F443" s="20" t="str">
        <f t="shared" si="140"/>
        <v>CRTC 1 : IVM ON/OFF</v>
      </c>
      <c r="G443" s="2"/>
    </row>
    <row r="444" spans="1:7">
      <c r="A444" s="22">
        <f t="shared" si="108"/>
        <v>436</v>
      </c>
      <c r="B444" s="10">
        <f t="shared" si="147"/>
        <v>661</v>
      </c>
      <c r="C444" s="24" t="str">
        <f t="shared" ref="C444" si="164">DEC2HEX(B444,4)</f>
        <v>0295</v>
      </c>
      <c r="D444" s="2" t="str">
        <f t="shared" si="139"/>
        <v>C4</v>
      </c>
      <c r="E444" s="2" t="s">
        <v>299</v>
      </c>
      <c r="F444" s="20" t="str">
        <f t="shared" si="140"/>
        <v>CRTC 1 : IVM ON/OFF</v>
      </c>
      <c r="G444" s="2"/>
    </row>
    <row r="445" spans="1:7">
      <c r="A445" s="22">
        <f t="shared" si="108"/>
        <v>437</v>
      </c>
      <c r="B445" s="10">
        <f t="shared" si="147"/>
        <v>662</v>
      </c>
      <c r="C445" s="24" t="str">
        <f t="shared" ref="C445" si="165">DEC2HEX(B445,4)</f>
        <v>0296</v>
      </c>
      <c r="D445" s="2" t="str">
        <f t="shared" si="139"/>
        <v>C4</v>
      </c>
      <c r="E445" s="2" t="s">
        <v>362</v>
      </c>
      <c r="F445" s="20" t="str">
        <f t="shared" si="140"/>
        <v>CRTC 1 : IVM ON/OFF</v>
      </c>
      <c r="G445" s="2"/>
    </row>
    <row r="446" spans="1:7">
      <c r="A446" s="22">
        <f t="shared" si="108"/>
        <v>438</v>
      </c>
      <c r="B446" s="10">
        <f t="shared" si="147"/>
        <v>663</v>
      </c>
      <c r="C446" s="24" t="str">
        <f t="shared" ref="C446" si="166">DEC2HEX(B446,4)</f>
        <v>0297</v>
      </c>
      <c r="D446" s="2" t="str">
        <f t="shared" si="139"/>
        <v>C4</v>
      </c>
      <c r="E446" s="2" t="s">
        <v>363</v>
      </c>
      <c r="F446" s="20" t="str">
        <f t="shared" si="140"/>
        <v>CRTC 1 : IVM ON/OFF</v>
      </c>
      <c r="G446" s="2"/>
    </row>
    <row r="447" spans="1:7">
      <c r="A447" s="22">
        <f t="shared" si="108"/>
        <v>439</v>
      </c>
      <c r="B447" s="10">
        <f t="shared" si="147"/>
        <v>664</v>
      </c>
      <c r="C447" s="24" t="str">
        <f t="shared" ref="C447" si="167">DEC2HEX(B447,4)</f>
        <v>0298</v>
      </c>
      <c r="D447" s="2" t="str">
        <f t="shared" si="139"/>
        <v>C4</v>
      </c>
      <c r="E447" s="2" t="s">
        <v>364</v>
      </c>
      <c r="F447" s="20" t="str">
        <f t="shared" si="140"/>
        <v>CRTC 1 : IVM ON/OFF</v>
      </c>
      <c r="G447" s="2"/>
    </row>
    <row r="448" spans="1:7">
      <c r="A448" s="22">
        <f t="shared" si="108"/>
        <v>440</v>
      </c>
      <c r="B448" s="10">
        <f t="shared" si="147"/>
        <v>665</v>
      </c>
      <c r="C448" s="24" t="str">
        <f t="shared" ref="C448" si="168">DEC2HEX(B448,4)</f>
        <v>0299</v>
      </c>
      <c r="D448" s="2" t="str">
        <f t="shared" si="139"/>
        <v>C4</v>
      </c>
      <c r="E448" s="2" t="s">
        <v>365</v>
      </c>
      <c r="F448" s="20" t="str">
        <f t="shared" si="140"/>
        <v>CRTC 1 : IVM ON/OFF</v>
      </c>
      <c r="G448" s="2"/>
    </row>
    <row r="449" spans="1:7">
      <c r="A449" s="22">
        <f t="shared" si="108"/>
        <v>441</v>
      </c>
      <c r="B449" s="10">
        <f t="shared" si="147"/>
        <v>666</v>
      </c>
      <c r="C449" s="24" t="str">
        <f t="shared" ref="C449" si="169">DEC2HEX(B449,4)</f>
        <v>029A</v>
      </c>
      <c r="D449" s="2" t="str">
        <f t="shared" si="139"/>
        <v>C4</v>
      </c>
      <c r="E449" s="2" t="s">
        <v>300</v>
      </c>
      <c r="F449" s="20" t="str">
        <f t="shared" si="140"/>
        <v>CRTC 1 : IVM ON/OFF</v>
      </c>
      <c r="G449" s="2"/>
    </row>
    <row r="450" spans="1:7">
      <c r="A450" s="22">
        <f t="shared" si="108"/>
        <v>442</v>
      </c>
      <c r="B450" s="10">
        <f t="shared" si="147"/>
        <v>667</v>
      </c>
      <c r="C450" s="24" t="str">
        <f t="shared" ref="C450" si="170">DEC2HEX(B450,4)</f>
        <v>029B</v>
      </c>
      <c r="D450" s="2" t="str">
        <f t="shared" si="139"/>
        <v>C4</v>
      </c>
      <c r="E450" s="2" t="s">
        <v>301</v>
      </c>
      <c r="F450" s="20" t="str">
        <f t="shared" si="140"/>
        <v>CRTC 1 : IVM ON/OFF</v>
      </c>
      <c r="G450" s="2"/>
    </row>
    <row r="451" spans="1:7">
      <c r="A451" s="22">
        <f t="shared" si="108"/>
        <v>443</v>
      </c>
      <c r="B451" s="10">
        <f t="shared" si="147"/>
        <v>668</v>
      </c>
      <c r="C451" s="24" t="str">
        <f t="shared" ref="C451" si="171">DEC2HEX(B451,4)</f>
        <v>029C</v>
      </c>
      <c r="D451" s="2" t="str">
        <f t="shared" si="139"/>
        <v>C4</v>
      </c>
      <c r="E451" s="2" t="s">
        <v>302</v>
      </c>
      <c r="F451" s="20" t="str">
        <f t="shared" si="140"/>
        <v>CRTC 1 : IVM ON/OFF</v>
      </c>
      <c r="G451" s="2"/>
    </row>
    <row r="452" spans="1:7">
      <c r="A452" s="22">
        <f t="shared" si="108"/>
        <v>444</v>
      </c>
      <c r="B452" s="10">
        <f t="shared" si="147"/>
        <v>669</v>
      </c>
      <c r="C452" s="24" t="str">
        <f t="shared" ref="C452" si="172">DEC2HEX(B452,4)</f>
        <v>029D</v>
      </c>
      <c r="D452" s="2" t="str">
        <f t="shared" si="139"/>
        <v>C4</v>
      </c>
      <c r="E452" s="2" t="s">
        <v>303</v>
      </c>
      <c r="F452" s="20" t="str">
        <f t="shared" si="140"/>
        <v>CRTC 1 : IVM ON/OFF</v>
      </c>
      <c r="G452" s="2"/>
    </row>
    <row r="453" spans="1:7">
      <c r="A453" s="22">
        <f t="shared" si="108"/>
        <v>445</v>
      </c>
      <c r="B453" s="10">
        <f t="shared" si="147"/>
        <v>670</v>
      </c>
      <c r="C453" s="24" t="str">
        <f t="shared" ref="C453" si="173">DEC2HEX(B453,4)</f>
        <v>029E</v>
      </c>
      <c r="D453" s="2" t="s">
        <v>275</v>
      </c>
      <c r="E453" s="2" t="s">
        <v>29</v>
      </c>
      <c r="F453" s="20" t="s">
        <v>304</v>
      </c>
      <c r="G453" s="2"/>
    </row>
    <row r="454" spans="1:7">
      <c r="A454" s="22">
        <f t="shared" si="108"/>
        <v>446</v>
      </c>
      <c r="B454" s="10">
        <f t="shared" si="147"/>
        <v>671</v>
      </c>
      <c r="C454" s="24" t="str">
        <f t="shared" ref="C454" si="174">DEC2HEX(B454,4)</f>
        <v>029F</v>
      </c>
      <c r="D454" s="2" t="s">
        <v>276</v>
      </c>
      <c r="E454" s="2" t="s">
        <v>29</v>
      </c>
      <c r="F454" s="20" t="s">
        <v>305</v>
      </c>
      <c r="G454" s="2"/>
    </row>
    <row r="455" spans="1:7">
      <c r="A455" s="22">
        <f t="shared" si="108"/>
        <v>447</v>
      </c>
      <c r="B455" s="10">
        <f>B454+5</f>
        <v>676</v>
      </c>
      <c r="C455" s="24" t="str">
        <f t="shared" ref="C455" si="175">DEC2HEX(B455,4)</f>
        <v>02A4</v>
      </c>
      <c r="D455" s="2" t="str">
        <f>D454</f>
        <v>C6</v>
      </c>
      <c r="E455" s="2" t="s">
        <v>30</v>
      </c>
      <c r="F455" s="20" t="str">
        <f>F454</f>
        <v>CRTC 2 : C9. IVM SWITCH</v>
      </c>
      <c r="G455" s="2"/>
    </row>
    <row r="456" spans="1:7">
      <c r="A456" s="22">
        <f t="shared" si="108"/>
        <v>448</v>
      </c>
      <c r="B456" s="10">
        <f t="shared" si="147"/>
        <v>677</v>
      </c>
      <c r="C456" s="24" t="str">
        <f t="shared" ref="C456" si="176">DEC2HEX(B456,4)</f>
        <v>02A5</v>
      </c>
      <c r="D456" s="2" t="str">
        <f t="shared" ref="D456:D469" si="177">D455</f>
        <v>C6</v>
      </c>
      <c r="E456" s="2" t="s">
        <v>31</v>
      </c>
      <c r="F456" s="20" t="str">
        <f t="shared" ref="F456:F469" si="178">F455</f>
        <v>CRTC 2 : C9. IVM SWITCH</v>
      </c>
      <c r="G456" s="2"/>
    </row>
    <row r="457" spans="1:7">
      <c r="A457" s="22">
        <f t="shared" si="108"/>
        <v>449</v>
      </c>
      <c r="B457" s="10">
        <f t="shared" si="147"/>
        <v>678</v>
      </c>
      <c r="C457" s="24" t="str">
        <f t="shared" ref="C457" si="179">DEC2HEX(B457,4)</f>
        <v>02A6</v>
      </c>
      <c r="D457" s="2" t="str">
        <f t="shared" si="177"/>
        <v>C6</v>
      </c>
      <c r="E457" s="2" t="s">
        <v>32</v>
      </c>
      <c r="F457" s="20" t="str">
        <f t="shared" si="178"/>
        <v>CRTC 2 : C9. IVM SWITCH</v>
      </c>
      <c r="G457" s="2"/>
    </row>
    <row r="458" spans="1:7">
      <c r="A458" s="22">
        <f t="shared" ref="A458:A521" si="180">A457+1</f>
        <v>450</v>
      </c>
      <c r="B458" s="10">
        <f t="shared" si="147"/>
        <v>679</v>
      </c>
      <c r="C458" s="24" t="str">
        <f t="shared" ref="C458" si="181">DEC2HEX(B458,4)</f>
        <v>02A7</v>
      </c>
      <c r="D458" s="2" t="str">
        <f t="shared" si="177"/>
        <v>C6</v>
      </c>
      <c r="E458" s="2" t="s">
        <v>33</v>
      </c>
      <c r="F458" s="20" t="str">
        <f t="shared" si="178"/>
        <v>CRTC 2 : C9. IVM SWITCH</v>
      </c>
      <c r="G458" s="2"/>
    </row>
    <row r="459" spans="1:7">
      <c r="A459" s="22">
        <f t="shared" si="180"/>
        <v>451</v>
      </c>
      <c r="B459" s="10">
        <f>B458+5</f>
        <v>684</v>
      </c>
      <c r="C459" s="24" t="str">
        <f t="shared" ref="C459" si="182">DEC2HEX(B459,4)</f>
        <v>02AC</v>
      </c>
      <c r="D459" s="2" t="str">
        <f t="shared" si="177"/>
        <v>C6</v>
      </c>
      <c r="E459" s="2" t="s">
        <v>106</v>
      </c>
      <c r="F459" s="20" t="str">
        <f t="shared" si="178"/>
        <v>CRTC 2 : C9. IVM SWITCH</v>
      </c>
      <c r="G459" s="2"/>
    </row>
    <row r="460" spans="1:7">
      <c r="A460" s="22">
        <f t="shared" si="180"/>
        <v>452</v>
      </c>
      <c r="B460" s="10">
        <f>B459+1</f>
        <v>685</v>
      </c>
      <c r="C460" s="24" t="str">
        <f t="shared" ref="C460" si="183">DEC2HEX(B460,4)</f>
        <v>02AD</v>
      </c>
      <c r="D460" s="2" t="str">
        <f t="shared" si="177"/>
        <v>C6</v>
      </c>
      <c r="E460" s="2" t="s">
        <v>107</v>
      </c>
      <c r="F460" s="20" t="str">
        <f t="shared" si="178"/>
        <v>CRTC 2 : C9. IVM SWITCH</v>
      </c>
      <c r="G460" s="2"/>
    </row>
    <row r="461" spans="1:7">
      <c r="A461" s="22">
        <f t="shared" si="180"/>
        <v>453</v>
      </c>
      <c r="B461" s="10">
        <f>B460+1</f>
        <v>686</v>
      </c>
      <c r="C461" s="24" t="str">
        <f t="shared" ref="C461" si="184">DEC2HEX(B461,4)</f>
        <v>02AE</v>
      </c>
      <c r="D461" s="2" t="str">
        <f t="shared" si="177"/>
        <v>C6</v>
      </c>
      <c r="E461" s="2" t="s">
        <v>108</v>
      </c>
      <c r="F461" s="20" t="str">
        <f t="shared" si="178"/>
        <v>CRTC 2 : C9. IVM SWITCH</v>
      </c>
      <c r="G461" s="2"/>
    </row>
    <row r="462" spans="1:7">
      <c r="A462" s="22">
        <f t="shared" si="180"/>
        <v>454</v>
      </c>
      <c r="B462" s="10">
        <f t="shared" ref="B462" si="185">B461+1</f>
        <v>687</v>
      </c>
      <c r="C462" s="24" t="str">
        <f t="shared" ref="C462" si="186">DEC2HEX(B462,4)</f>
        <v>02AF</v>
      </c>
      <c r="D462" s="2" t="str">
        <f t="shared" si="177"/>
        <v>C6</v>
      </c>
      <c r="E462" s="2" t="s">
        <v>109</v>
      </c>
      <c r="F462" s="20" t="str">
        <f t="shared" si="178"/>
        <v>CRTC 2 : C9. IVM SWITCH</v>
      </c>
      <c r="G462" s="2"/>
    </row>
    <row r="463" spans="1:7">
      <c r="A463" s="22">
        <f t="shared" si="180"/>
        <v>455</v>
      </c>
      <c r="B463" s="10">
        <f>B462+5</f>
        <v>692</v>
      </c>
      <c r="C463" s="24" t="str">
        <f t="shared" ref="C463" si="187">DEC2HEX(B463,4)</f>
        <v>02B4</v>
      </c>
      <c r="D463" s="2" t="str">
        <f t="shared" si="177"/>
        <v>C6</v>
      </c>
      <c r="E463" s="2" t="s">
        <v>111</v>
      </c>
      <c r="F463" s="20" t="str">
        <f t="shared" si="178"/>
        <v>CRTC 2 : C9. IVM SWITCH</v>
      </c>
      <c r="G463" s="2"/>
    </row>
    <row r="464" spans="1:7">
      <c r="A464" s="22">
        <f t="shared" si="180"/>
        <v>456</v>
      </c>
      <c r="B464" s="10">
        <f>B463+1</f>
        <v>693</v>
      </c>
      <c r="C464" s="24" t="str">
        <f t="shared" ref="C464" si="188">DEC2HEX(B464,4)</f>
        <v>02B5</v>
      </c>
      <c r="D464" s="2" t="str">
        <f t="shared" si="177"/>
        <v>C6</v>
      </c>
      <c r="E464" s="2" t="s">
        <v>112</v>
      </c>
      <c r="F464" s="20" t="str">
        <f t="shared" si="178"/>
        <v>CRTC 2 : C9. IVM SWITCH</v>
      </c>
      <c r="G464" s="2"/>
    </row>
    <row r="465" spans="1:7">
      <c r="A465" s="22">
        <f t="shared" si="180"/>
        <v>457</v>
      </c>
      <c r="B465" s="10">
        <f t="shared" ref="B465:B466" si="189">B464+1</f>
        <v>694</v>
      </c>
      <c r="C465" s="24" t="str">
        <f t="shared" ref="C465" si="190">DEC2HEX(B465,4)</f>
        <v>02B6</v>
      </c>
      <c r="D465" s="2" t="str">
        <f t="shared" si="177"/>
        <v>C6</v>
      </c>
      <c r="E465" s="2" t="s">
        <v>284</v>
      </c>
      <c r="F465" s="20" t="str">
        <f t="shared" si="178"/>
        <v>CRTC 2 : C9. IVM SWITCH</v>
      </c>
      <c r="G465" s="2"/>
    </row>
    <row r="466" spans="1:7">
      <c r="A466" s="22">
        <f t="shared" si="180"/>
        <v>458</v>
      </c>
      <c r="B466" s="10">
        <f t="shared" si="189"/>
        <v>695</v>
      </c>
      <c r="C466" s="24" t="str">
        <f t="shared" ref="C466" si="191">DEC2HEX(B466,4)</f>
        <v>02B7</v>
      </c>
      <c r="D466" s="2" t="str">
        <f t="shared" si="177"/>
        <v>C6</v>
      </c>
      <c r="E466" s="2" t="s">
        <v>285</v>
      </c>
      <c r="F466" s="20" t="str">
        <f t="shared" si="178"/>
        <v>CRTC 2 : C9. IVM SWITCH</v>
      </c>
      <c r="G466" s="2"/>
    </row>
    <row r="467" spans="1:7">
      <c r="A467" s="22">
        <f t="shared" si="180"/>
        <v>459</v>
      </c>
      <c r="B467" s="10">
        <f>B466+5</f>
        <v>700</v>
      </c>
      <c r="C467" s="24" t="str">
        <f t="shared" ref="C467" si="192">DEC2HEX(B467,4)</f>
        <v>02BC</v>
      </c>
      <c r="D467" s="2" t="str">
        <f t="shared" si="177"/>
        <v>C6</v>
      </c>
      <c r="E467" s="2" t="s">
        <v>286</v>
      </c>
      <c r="F467" s="20" t="str">
        <f t="shared" si="178"/>
        <v>CRTC 2 : C9. IVM SWITCH</v>
      </c>
      <c r="G467" s="2"/>
    </row>
    <row r="468" spans="1:7">
      <c r="A468" s="22">
        <f t="shared" si="180"/>
        <v>460</v>
      </c>
      <c r="B468" s="10">
        <f t="shared" ref="B468:B475" si="193">B467+1</f>
        <v>701</v>
      </c>
      <c r="C468" s="24" t="str">
        <f t="shared" ref="C468" si="194">DEC2HEX(B468,4)</f>
        <v>02BD</v>
      </c>
      <c r="D468" s="2" t="str">
        <f t="shared" si="177"/>
        <v>C6</v>
      </c>
      <c r="E468" s="2" t="s">
        <v>287</v>
      </c>
      <c r="F468" s="20" t="str">
        <f t="shared" si="178"/>
        <v>CRTC 2 : C9. IVM SWITCH</v>
      </c>
      <c r="G468" s="2"/>
    </row>
    <row r="469" spans="1:7">
      <c r="A469" s="22">
        <f t="shared" si="180"/>
        <v>461</v>
      </c>
      <c r="B469" s="10">
        <f t="shared" si="193"/>
        <v>702</v>
      </c>
      <c r="C469" s="24" t="str">
        <f t="shared" ref="C469" si="195">DEC2HEX(B469,4)</f>
        <v>02BE</v>
      </c>
      <c r="D469" s="2" t="str">
        <f t="shared" si="177"/>
        <v>C6</v>
      </c>
      <c r="E469" s="2" t="s">
        <v>288</v>
      </c>
      <c r="F469" s="20" t="str">
        <f t="shared" si="178"/>
        <v>CRTC 2 : C9. IVM SWITCH</v>
      </c>
      <c r="G469" s="2"/>
    </row>
    <row r="470" spans="1:7">
      <c r="A470" s="22">
        <f t="shared" si="180"/>
        <v>462</v>
      </c>
      <c r="B470" s="10">
        <f t="shared" si="193"/>
        <v>703</v>
      </c>
      <c r="C470" s="24" t="str">
        <f t="shared" ref="C470" si="196">DEC2HEX(B470,4)</f>
        <v>02BF</v>
      </c>
      <c r="D470" s="2" t="s">
        <v>277</v>
      </c>
      <c r="E470" s="2" t="s">
        <v>29</v>
      </c>
      <c r="F470" s="20" t="s">
        <v>306</v>
      </c>
      <c r="G470" s="2"/>
    </row>
    <row r="471" spans="1:7">
      <c r="A471" s="22">
        <f t="shared" si="180"/>
        <v>463</v>
      </c>
      <c r="B471" s="10">
        <f t="shared" si="193"/>
        <v>704</v>
      </c>
      <c r="C471" s="24" t="str">
        <f t="shared" ref="C471" si="197">DEC2HEX(B471,4)</f>
        <v>02C0</v>
      </c>
      <c r="D471" s="2" t="s">
        <v>278</v>
      </c>
      <c r="E471" s="2" t="s">
        <v>29</v>
      </c>
      <c r="F471" s="20" t="s">
        <v>307</v>
      </c>
      <c r="G471" s="2"/>
    </row>
    <row r="472" spans="1:7">
      <c r="A472" s="22">
        <f t="shared" si="180"/>
        <v>464</v>
      </c>
      <c r="B472" s="10">
        <f t="shared" si="193"/>
        <v>705</v>
      </c>
      <c r="C472" s="24" t="str">
        <f t="shared" ref="C472" si="198">DEC2HEX(B472,4)</f>
        <v>02C1</v>
      </c>
      <c r="D472" s="2" t="str">
        <f>D471</f>
        <v>C8</v>
      </c>
      <c r="E472" s="2" t="s">
        <v>30</v>
      </c>
      <c r="F472" s="20" t="str">
        <f>F471</f>
        <v>CRTC 2 : ADD LINE ON PARITY BUG</v>
      </c>
      <c r="G472" s="2"/>
    </row>
    <row r="473" spans="1:7">
      <c r="A473" s="22">
        <f t="shared" si="180"/>
        <v>465</v>
      </c>
      <c r="B473" s="10">
        <f t="shared" si="193"/>
        <v>706</v>
      </c>
      <c r="C473" s="24" t="str">
        <f t="shared" ref="C473" si="199">DEC2HEX(B473,4)</f>
        <v>02C2</v>
      </c>
      <c r="D473" s="2" t="str">
        <f t="shared" ref="D473:D477" si="200">D472</f>
        <v>C8</v>
      </c>
      <c r="E473" s="2" t="s">
        <v>31</v>
      </c>
      <c r="F473" s="20" t="str">
        <f t="shared" ref="F473:F477" si="201">F472</f>
        <v>CRTC 2 : ADD LINE ON PARITY BUG</v>
      </c>
      <c r="G473" s="2"/>
    </row>
    <row r="474" spans="1:7">
      <c r="A474" s="22">
        <f t="shared" si="180"/>
        <v>466</v>
      </c>
      <c r="B474" s="10">
        <f t="shared" si="193"/>
        <v>707</v>
      </c>
      <c r="C474" s="24" t="str">
        <f t="shared" ref="C474" si="202">DEC2HEX(B474,4)</f>
        <v>02C3</v>
      </c>
      <c r="D474" s="2" t="str">
        <f t="shared" si="200"/>
        <v>C8</v>
      </c>
      <c r="E474" s="2" t="s">
        <v>32</v>
      </c>
      <c r="F474" s="20" t="str">
        <f t="shared" si="201"/>
        <v>CRTC 2 : ADD LINE ON PARITY BUG</v>
      </c>
      <c r="G474" s="2"/>
    </row>
    <row r="475" spans="1:7">
      <c r="A475" s="22">
        <f t="shared" si="180"/>
        <v>467</v>
      </c>
      <c r="B475" s="10">
        <f t="shared" si="193"/>
        <v>708</v>
      </c>
      <c r="C475" s="24" t="str">
        <f t="shared" ref="C475" si="203">DEC2HEX(B475,4)</f>
        <v>02C4</v>
      </c>
      <c r="D475" s="2" t="str">
        <f t="shared" si="200"/>
        <v>C8</v>
      </c>
      <c r="E475" s="2" t="s">
        <v>33</v>
      </c>
      <c r="F475" s="20" t="str">
        <f t="shared" si="201"/>
        <v>CRTC 2 : ADD LINE ON PARITY BUG</v>
      </c>
      <c r="G475" s="2"/>
    </row>
    <row r="476" spans="1:7">
      <c r="A476" s="22">
        <f t="shared" si="180"/>
        <v>468</v>
      </c>
      <c r="B476" s="10">
        <f t="shared" ref="B476:B538" si="204">B475+1</f>
        <v>709</v>
      </c>
      <c r="C476" s="24" t="str">
        <f t="shared" ref="C476" si="205">DEC2HEX(B476,4)</f>
        <v>02C5</v>
      </c>
      <c r="D476" s="2" t="str">
        <f t="shared" si="200"/>
        <v>C8</v>
      </c>
      <c r="E476" s="2" t="s">
        <v>106</v>
      </c>
      <c r="F476" s="20" t="str">
        <f t="shared" si="201"/>
        <v>CRTC 2 : ADD LINE ON PARITY BUG</v>
      </c>
      <c r="G476" s="2"/>
    </row>
    <row r="477" spans="1:7">
      <c r="A477" s="22">
        <f t="shared" si="180"/>
        <v>469</v>
      </c>
      <c r="B477" s="10">
        <f t="shared" si="204"/>
        <v>710</v>
      </c>
      <c r="C477" s="24" t="str">
        <f t="shared" ref="C477" si="206">DEC2HEX(B477,4)</f>
        <v>02C6</v>
      </c>
      <c r="D477" s="2" t="str">
        <f t="shared" si="200"/>
        <v>C8</v>
      </c>
      <c r="E477" s="2" t="s">
        <v>107</v>
      </c>
      <c r="F477" s="20" t="str">
        <f t="shared" si="201"/>
        <v>CRTC 2 : ADD LINE ON PARITY BUG</v>
      </c>
      <c r="G477" s="2"/>
    </row>
    <row r="478" spans="1:7">
      <c r="A478" s="22">
        <f t="shared" si="180"/>
        <v>470</v>
      </c>
      <c r="B478" s="10">
        <f t="shared" si="204"/>
        <v>711</v>
      </c>
      <c r="C478" s="24" t="str">
        <f t="shared" ref="C478" si="207">DEC2HEX(B478,4)</f>
        <v>02C7</v>
      </c>
      <c r="D478" s="2" t="s">
        <v>279</v>
      </c>
      <c r="E478" s="2" t="s">
        <v>29</v>
      </c>
      <c r="F478" s="20" t="s">
        <v>308</v>
      </c>
      <c r="G478" s="2"/>
    </row>
    <row r="479" spans="1:7">
      <c r="A479" s="22">
        <f t="shared" si="180"/>
        <v>471</v>
      </c>
      <c r="B479" s="10">
        <f t="shared" si="204"/>
        <v>712</v>
      </c>
      <c r="C479" s="24" t="str">
        <f t="shared" ref="C479" si="208">DEC2HEX(B479,4)</f>
        <v>02C8</v>
      </c>
      <c r="D479" s="2" t="str">
        <f>D478</f>
        <v>C9</v>
      </c>
      <c r="E479" s="2" t="s">
        <v>30</v>
      </c>
      <c r="F479" s="20" t="str">
        <f>F478</f>
        <v>CRTC 2 : ADD LINE REQUEST &amp; TRIGGER (!!**!!)</v>
      </c>
      <c r="G479" s="2"/>
    </row>
    <row r="480" spans="1:7">
      <c r="A480" s="22">
        <f t="shared" si="180"/>
        <v>472</v>
      </c>
      <c r="B480" s="10">
        <f t="shared" si="204"/>
        <v>713</v>
      </c>
      <c r="C480" s="24" t="str">
        <f t="shared" ref="C480" si="209">DEC2HEX(B480,4)</f>
        <v>02C9</v>
      </c>
      <c r="D480" s="2" t="s">
        <v>309</v>
      </c>
      <c r="E480" s="2" t="s">
        <v>29</v>
      </c>
      <c r="F480" s="20" t="s">
        <v>310</v>
      </c>
      <c r="G480" s="2"/>
    </row>
    <row r="481" spans="1:7">
      <c r="A481" s="22">
        <f t="shared" si="180"/>
        <v>473</v>
      </c>
      <c r="B481" s="10">
        <f t="shared" si="204"/>
        <v>714</v>
      </c>
      <c r="C481" s="24" t="str">
        <f t="shared" ref="C481" si="210">DEC2HEX(B481,4)</f>
        <v>02CA</v>
      </c>
      <c r="D481" s="2" t="s">
        <v>309</v>
      </c>
      <c r="E481" s="2" t="s">
        <v>30</v>
      </c>
      <c r="F481" s="20" t="s">
        <v>310</v>
      </c>
      <c r="G481" s="2"/>
    </row>
    <row r="482" spans="1:7">
      <c r="A482" s="22">
        <f t="shared" si="180"/>
        <v>474</v>
      </c>
      <c r="B482" s="10">
        <f t="shared" si="204"/>
        <v>715</v>
      </c>
      <c r="C482" s="24" t="str">
        <f t="shared" ref="C482:C499" si="211">DEC2HEX(B482,4)</f>
        <v>02CB</v>
      </c>
      <c r="D482" s="2" t="s">
        <v>311</v>
      </c>
      <c r="E482" s="2" t="s">
        <v>29</v>
      </c>
      <c r="F482" s="20" t="s">
        <v>312</v>
      </c>
      <c r="G482" s="2"/>
    </row>
    <row r="483" spans="1:7">
      <c r="A483" s="22">
        <f t="shared" si="180"/>
        <v>475</v>
      </c>
      <c r="B483" s="10">
        <f t="shared" si="204"/>
        <v>716</v>
      </c>
      <c r="C483" s="2" t="str">
        <f t="shared" si="211"/>
        <v>02CC</v>
      </c>
      <c r="D483" s="2" t="s">
        <v>314</v>
      </c>
      <c r="E483" s="2" t="s">
        <v>29</v>
      </c>
      <c r="F483" s="20" t="s">
        <v>313</v>
      </c>
      <c r="G483" s="2"/>
    </row>
    <row r="484" spans="1:7">
      <c r="A484" s="22">
        <f t="shared" si="180"/>
        <v>476</v>
      </c>
      <c r="B484" s="10">
        <f t="shared" si="204"/>
        <v>717</v>
      </c>
      <c r="C484" s="24" t="str">
        <f t="shared" si="211"/>
        <v>02CD</v>
      </c>
      <c r="D484" s="2" t="s">
        <v>315</v>
      </c>
      <c r="E484" s="2" t="s">
        <v>29</v>
      </c>
      <c r="F484" s="20" t="s">
        <v>318</v>
      </c>
      <c r="G484" s="2"/>
    </row>
    <row r="485" spans="1:7">
      <c r="A485" s="22">
        <f t="shared" si="180"/>
        <v>477</v>
      </c>
      <c r="B485" s="10">
        <f t="shared" si="204"/>
        <v>718</v>
      </c>
      <c r="C485" s="24" t="str">
        <f t="shared" si="211"/>
        <v>02CE</v>
      </c>
      <c r="D485" s="2" t="str">
        <f>D484</f>
        <v>CRETURN</v>
      </c>
      <c r="E485" s="2" t="s">
        <v>30</v>
      </c>
      <c r="F485" s="20" t="str">
        <f>F484</f>
        <v>GHOST VSYNC VERSUS LAST LINE (OPEN TO OTHER CRTC'S)</v>
      </c>
      <c r="G485" s="2"/>
    </row>
    <row r="486" spans="1:7">
      <c r="A486" s="22">
        <f t="shared" si="180"/>
        <v>478</v>
      </c>
      <c r="B486" s="10">
        <f t="shared" si="204"/>
        <v>719</v>
      </c>
      <c r="C486" s="24" t="str">
        <f t="shared" si="211"/>
        <v>02CF</v>
      </c>
      <c r="D486" s="2" t="s">
        <v>316</v>
      </c>
      <c r="E486" s="2" t="s">
        <v>29</v>
      </c>
      <c r="F486" s="20" t="s">
        <v>317</v>
      </c>
      <c r="G486" s="2"/>
    </row>
    <row r="487" spans="1:7">
      <c r="A487" s="22">
        <f t="shared" si="180"/>
        <v>479</v>
      </c>
      <c r="B487" s="10">
        <f t="shared" si="204"/>
        <v>720</v>
      </c>
      <c r="C487" s="24" t="str">
        <f t="shared" si="211"/>
        <v>02D0</v>
      </c>
      <c r="D487" s="2" t="str">
        <f>D486</f>
        <v>CT</v>
      </c>
      <c r="E487" s="2" t="s">
        <v>30</v>
      </c>
      <c r="F487" s="20" t="str">
        <f>F486</f>
        <v>CRTC 2 : VMA' ON R1=0 (OPEN TO OTHER CRTC'S)</v>
      </c>
      <c r="G487" s="2"/>
    </row>
    <row r="488" spans="1:7">
      <c r="A488" s="22">
        <f t="shared" si="180"/>
        <v>480</v>
      </c>
      <c r="B488" s="10">
        <f t="shared" si="204"/>
        <v>721</v>
      </c>
      <c r="C488" s="24" t="str">
        <f t="shared" si="211"/>
        <v>02D1</v>
      </c>
      <c r="D488" s="2" t="str">
        <f>D487</f>
        <v>CT</v>
      </c>
      <c r="E488" s="2" t="s">
        <v>31</v>
      </c>
      <c r="F488" s="20" t="str">
        <f>F487</f>
        <v>CRTC 2 : VMA' ON R1=0 (OPEN TO OTHER CRTC'S)</v>
      </c>
      <c r="G488" s="2"/>
    </row>
    <row r="489" spans="1:7">
      <c r="A489" s="22">
        <f t="shared" si="180"/>
        <v>481</v>
      </c>
      <c r="B489" s="10">
        <f t="shared" si="204"/>
        <v>722</v>
      </c>
      <c r="C489" s="24" t="str">
        <f t="shared" si="211"/>
        <v>02D2</v>
      </c>
      <c r="D489" s="2" t="str">
        <f>D488</f>
        <v>CT</v>
      </c>
      <c r="E489" s="2" t="s">
        <v>32</v>
      </c>
      <c r="F489" s="20" t="str">
        <f>F488</f>
        <v>CRTC 2 : VMA' ON R1=0 (OPEN TO OTHER CRTC'S)</v>
      </c>
      <c r="G489" s="2"/>
    </row>
    <row r="490" spans="1:7">
      <c r="A490" s="22">
        <f t="shared" si="180"/>
        <v>482</v>
      </c>
      <c r="B490" s="10">
        <f t="shared" si="204"/>
        <v>723</v>
      </c>
      <c r="C490" s="24" t="str">
        <f t="shared" si="211"/>
        <v>02D3</v>
      </c>
      <c r="D490" s="2" t="s">
        <v>319</v>
      </c>
      <c r="E490" s="2" t="s">
        <v>29</v>
      </c>
      <c r="F490" s="20" t="s">
        <v>320</v>
      </c>
      <c r="G490" s="2"/>
    </row>
    <row r="491" spans="1:7">
      <c r="A491" s="22">
        <f t="shared" si="180"/>
        <v>483</v>
      </c>
      <c r="B491" s="10">
        <f t="shared" si="204"/>
        <v>724</v>
      </c>
      <c r="C491" s="24" t="str">
        <f t="shared" si="211"/>
        <v>02D4</v>
      </c>
      <c r="D491" s="2" t="s">
        <v>321</v>
      </c>
      <c r="E491" s="2" t="s">
        <v>29</v>
      </c>
      <c r="F491" s="20" t="s">
        <v>322</v>
      </c>
      <c r="G491" s="2" t="s">
        <v>430</v>
      </c>
    </row>
    <row r="492" spans="1:7">
      <c r="A492" s="22">
        <f t="shared" si="180"/>
        <v>484</v>
      </c>
      <c r="B492" s="10">
        <f t="shared" si="204"/>
        <v>725</v>
      </c>
      <c r="C492" s="24" t="str">
        <f t="shared" si="211"/>
        <v>02D5</v>
      </c>
      <c r="D492" s="2" t="str">
        <f>D491</f>
        <v>CO</v>
      </c>
      <c r="E492" s="2" t="s">
        <v>30</v>
      </c>
      <c r="F492" s="20" t="str">
        <f>F491</f>
        <v>INTERLACE VSYNC NIGHTMARE</v>
      </c>
      <c r="G492" s="2" t="s">
        <v>430</v>
      </c>
    </row>
    <row r="493" spans="1:7">
      <c r="A493" s="22">
        <f t="shared" si="180"/>
        <v>485</v>
      </c>
      <c r="B493" s="10">
        <f t="shared" si="204"/>
        <v>726</v>
      </c>
      <c r="C493" s="24" t="str">
        <f t="shared" si="211"/>
        <v>02D6</v>
      </c>
      <c r="D493" s="2" t="str">
        <f t="shared" ref="D493:D501" si="212">D492</f>
        <v>CO</v>
      </c>
      <c r="E493" s="2" t="s">
        <v>43</v>
      </c>
      <c r="F493" s="20" t="str">
        <f t="shared" ref="F493:F497" si="213">F492</f>
        <v>INTERLACE VSYNC NIGHTMARE</v>
      </c>
      <c r="G493" s="2" t="s">
        <v>432</v>
      </c>
    </row>
    <row r="494" spans="1:7">
      <c r="A494" s="22">
        <f t="shared" si="180"/>
        <v>486</v>
      </c>
      <c r="B494" s="10">
        <f t="shared" si="204"/>
        <v>727</v>
      </c>
      <c r="C494" s="24" t="str">
        <f t="shared" si="211"/>
        <v>02D7</v>
      </c>
      <c r="D494" s="2" t="str">
        <f t="shared" si="212"/>
        <v>CO</v>
      </c>
      <c r="E494" s="2" t="s">
        <v>44</v>
      </c>
      <c r="F494" s="20" t="str">
        <f t="shared" si="213"/>
        <v>INTERLACE VSYNC NIGHTMARE</v>
      </c>
      <c r="G494" s="2" t="s">
        <v>433</v>
      </c>
    </row>
    <row r="495" spans="1:7">
      <c r="A495" s="22">
        <f t="shared" si="180"/>
        <v>487</v>
      </c>
      <c r="B495" s="10">
        <f t="shared" si="204"/>
        <v>728</v>
      </c>
      <c r="C495" s="24" t="str">
        <f t="shared" si="211"/>
        <v>02D8</v>
      </c>
      <c r="D495" s="2" t="str">
        <f t="shared" si="212"/>
        <v>CO</v>
      </c>
      <c r="E495" s="2" t="s">
        <v>32</v>
      </c>
      <c r="F495" s="20" t="str">
        <f t="shared" si="213"/>
        <v>INTERLACE VSYNC NIGHTMARE</v>
      </c>
      <c r="G495" s="2" t="s">
        <v>431</v>
      </c>
    </row>
    <row r="496" spans="1:7">
      <c r="A496" s="22">
        <f t="shared" si="180"/>
        <v>488</v>
      </c>
      <c r="B496" s="10">
        <f t="shared" si="204"/>
        <v>729</v>
      </c>
      <c r="C496" s="24" t="str">
        <f t="shared" si="211"/>
        <v>02D9</v>
      </c>
      <c r="D496" s="2" t="str">
        <f t="shared" si="212"/>
        <v>CO</v>
      </c>
      <c r="E496" s="2" t="s">
        <v>33</v>
      </c>
      <c r="F496" s="20" t="str">
        <f t="shared" si="213"/>
        <v>INTERLACE VSYNC NIGHTMARE</v>
      </c>
      <c r="G496" s="2" t="s">
        <v>431</v>
      </c>
    </row>
    <row r="497" spans="1:7">
      <c r="A497" s="22">
        <f t="shared" si="180"/>
        <v>489</v>
      </c>
      <c r="B497" s="10">
        <f t="shared" si="204"/>
        <v>730</v>
      </c>
      <c r="C497" s="24" t="str">
        <f t="shared" si="211"/>
        <v>02DA</v>
      </c>
      <c r="D497" s="2" t="str">
        <f t="shared" si="212"/>
        <v>CO</v>
      </c>
      <c r="E497" s="2" t="s">
        <v>106</v>
      </c>
      <c r="F497" s="20" t="str">
        <f t="shared" si="213"/>
        <v>INTERLACE VSYNC NIGHTMARE</v>
      </c>
      <c r="G497" s="2"/>
    </row>
    <row r="498" spans="1:7">
      <c r="A498" s="22">
        <f t="shared" si="180"/>
        <v>490</v>
      </c>
      <c r="B498" s="10">
        <f t="shared" si="204"/>
        <v>731</v>
      </c>
      <c r="C498" s="24" t="str">
        <f t="shared" si="211"/>
        <v>02DB</v>
      </c>
      <c r="D498" s="2" t="str">
        <f t="shared" si="212"/>
        <v>CO</v>
      </c>
      <c r="E498" s="2" t="s">
        <v>51</v>
      </c>
      <c r="F498" s="20" t="str">
        <f>F497</f>
        <v>INTERLACE VSYNC NIGHTMARE</v>
      </c>
      <c r="G498" s="2"/>
    </row>
    <row r="499" spans="1:7">
      <c r="A499" s="22">
        <f t="shared" si="180"/>
        <v>491</v>
      </c>
      <c r="B499" s="10">
        <f t="shared" si="204"/>
        <v>732</v>
      </c>
      <c r="C499" s="24" t="str">
        <f t="shared" si="211"/>
        <v>02DC</v>
      </c>
      <c r="D499" s="2" t="str">
        <f t="shared" si="212"/>
        <v>CO</v>
      </c>
      <c r="E499" s="2" t="s">
        <v>52</v>
      </c>
      <c r="F499" s="20" t="str">
        <f t="shared" ref="F499:F501" si="214">F498</f>
        <v>INTERLACE VSYNC NIGHTMARE</v>
      </c>
      <c r="G499" s="2"/>
    </row>
    <row r="500" spans="1:7">
      <c r="A500" s="22">
        <f t="shared" si="180"/>
        <v>492</v>
      </c>
      <c r="B500" s="10">
        <f t="shared" si="204"/>
        <v>733</v>
      </c>
      <c r="C500" s="24" t="str">
        <f t="shared" ref="C500:C517" si="215">DEC2HEX(B500,4)</f>
        <v>02DD</v>
      </c>
      <c r="D500" s="2" t="str">
        <f t="shared" si="212"/>
        <v>CO</v>
      </c>
      <c r="E500" s="2" t="s">
        <v>53</v>
      </c>
      <c r="F500" s="20" t="str">
        <f t="shared" si="214"/>
        <v>INTERLACE VSYNC NIGHTMARE</v>
      </c>
      <c r="G500" s="2"/>
    </row>
    <row r="501" spans="1:7">
      <c r="A501" s="22">
        <f t="shared" si="180"/>
        <v>493</v>
      </c>
      <c r="B501" s="10">
        <f t="shared" si="204"/>
        <v>734</v>
      </c>
      <c r="C501" s="24" t="str">
        <f t="shared" si="215"/>
        <v>02DE</v>
      </c>
      <c r="D501" s="2" t="str">
        <f t="shared" si="212"/>
        <v>CO</v>
      </c>
      <c r="E501" s="2" t="s">
        <v>54</v>
      </c>
      <c r="F501" s="20" t="str">
        <f t="shared" si="214"/>
        <v>INTERLACE VSYNC NIGHTMARE</v>
      </c>
      <c r="G501" s="2"/>
    </row>
    <row r="502" spans="1:7">
      <c r="A502" s="22">
        <f t="shared" si="180"/>
        <v>494</v>
      </c>
      <c r="B502" s="10">
        <f t="shared" si="204"/>
        <v>735</v>
      </c>
      <c r="C502" s="24" t="str">
        <f t="shared" si="215"/>
        <v>02DF</v>
      </c>
      <c r="D502" s="2" t="s">
        <v>324</v>
      </c>
      <c r="E502" s="2" t="s">
        <v>29</v>
      </c>
      <c r="F502" s="20" t="s">
        <v>323</v>
      </c>
      <c r="G502" s="2"/>
    </row>
    <row r="503" spans="1:7">
      <c r="A503" s="22">
        <f t="shared" si="180"/>
        <v>495</v>
      </c>
      <c r="B503" s="10">
        <f t="shared" si="204"/>
        <v>736</v>
      </c>
      <c r="C503" s="24" t="str">
        <f t="shared" si="215"/>
        <v>02E0</v>
      </c>
      <c r="D503" s="2" t="str">
        <f>D502</f>
        <v>CY</v>
      </c>
      <c r="E503" s="2" t="s">
        <v>30</v>
      </c>
      <c r="F503" s="20" t="s">
        <v>323</v>
      </c>
      <c r="G503" s="2"/>
    </row>
    <row r="504" spans="1:7">
      <c r="A504" s="22">
        <f t="shared" si="180"/>
        <v>496</v>
      </c>
      <c r="B504" s="10">
        <f t="shared" si="204"/>
        <v>737</v>
      </c>
      <c r="C504" s="24" t="str">
        <f t="shared" si="215"/>
        <v>02E1</v>
      </c>
      <c r="D504" s="2" t="str">
        <f t="shared" ref="D504:D505" si="216">D503</f>
        <v>CY</v>
      </c>
      <c r="E504" s="2" t="s">
        <v>31</v>
      </c>
      <c r="F504" s="20" t="s">
        <v>323</v>
      </c>
      <c r="G504" s="2"/>
    </row>
    <row r="505" spans="1:7">
      <c r="A505" s="22">
        <f t="shared" si="180"/>
        <v>497</v>
      </c>
      <c r="B505" s="10">
        <f t="shared" si="204"/>
        <v>738</v>
      </c>
      <c r="C505" s="24" t="str">
        <f t="shared" si="215"/>
        <v>02E2</v>
      </c>
      <c r="D505" s="2" t="str">
        <f t="shared" si="216"/>
        <v>CY</v>
      </c>
      <c r="E505" s="2" t="s">
        <v>32</v>
      </c>
      <c r="F505" s="20" t="s">
        <v>323</v>
      </c>
      <c r="G505" s="2"/>
    </row>
    <row r="506" spans="1:7">
      <c r="A506" s="22">
        <f t="shared" si="180"/>
        <v>498</v>
      </c>
      <c r="B506" s="10">
        <f t="shared" si="204"/>
        <v>739</v>
      </c>
      <c r="C506" s="24" t="str">
        <f t="shared" si="215"/>
        <v>02E3</v>
      </c>
      <c r="D506" s="2" t="s">
        <v>326</v>
      </c>
      <c r="E506" s="2" t="s">
        <v>29</v>
      </c>
      <c r="F506" s="20" t="s">
        <v>327</v>
      </c>
      <c r="G506" s="2"/>
    </row>
    <row r="507" spans="1:7">
      <c r="A507" s="22">
        <f t="shared" si="180"/>
        <v>499</v>
      </c>
      <c r="B507" s="10">
        <f t="shared" si="204"/>
        <v>740</v>
      </c>
      <c r="C507" s="24" t="str">
        <f t="shared" si="215"/>
        <v>02E4</v>
      </c>
      <c r="D507" s="2" t="str">
        <f>D506</f>
        <v>DI</v>
      </c>
      <c r="E507" s="2" t="s">
        <v>30</v>
      </c>
      <c r="F507" s="20" t="str">
        <f>F506</f>
        <v>SHAKER KILLER 2</v>
      </c>
      <c r="G507" s="2"/>
    </row>
    <row r="508" spans="1:7">
      <c r="A508" s="22">
        <f t="shared" si="180"/>
        <v>500</v>
      </c>
      <c r="B508" s="10">
        <f t="shared" si="204"/>
        <v>741</v>
      </c>
      <c r="C508" s="24" t="str">
        <f t="shared" si="215"/>
        <v>02E5</v>
      </c>
      <c r="D508" s="2" t="str">
        <f t="shared" ref="D508:D512" si="217">D507</f>
        <v>DI</v>
      </c>
      <c r="E508" s="2" t="s">
        <v>31</v>
      </c>
      <c r="F508" s="20" t="str">
        <f t="shared" ref="F508:F512" si="218">F507</f>
        <v>SHAKER KILLER 2</v>
      </c>
      <c r="G508" s="2"/>
    </row>
    <row r="509" spans="1:7">
      <c r="A509" s="22">
        <f t="shared" si="180"/>
        <v>501</v>
      </c>
      <c r="B509" s="10">
        <f t="shared" si="204"/>
        <v>742</v>
      </c>
      <c r="C509" s="24" t="str">
        <f t="shared" si="215"/>
        <v>02E6</v>
      </c>
      <c r="D509" s="2" t="str">
        <f t="shared" si="217"/>
        <v>DI</v>
      </c>
      <c r="E509" s="2" t="s">
        <v>32</v>
      </c>
      <c r="F509" s="20" t="str">
        <f t="shared" si="218"/>
        <v>SHAKER KILLER 2</v>
      </c>
      <c r="G509" s="2"/>
    </row>
    <row r="510" spans="1:7">
      <c r="A510" s="22">
        <f t="shared" si="180"/>
        <v>502</v>
      </c>
      <c r="B510" s="10">
        <f t="shared" si="204"/>
        <v>743</v>
      </c>
      <c r="C510" s="24" t="str">
        <f t="shared" si="215"/>
        <v>02E7</v>
      </c>
      <c r="D510" s="2" t="str">
        <f t="shared" si="217"/>
        <v>DI</v>
      </c>
      <c r="E510" s="2" t="s">
        <v>33</v>
      </c>
      <c r="F510" s="20" t="str">
        <f t="shared" si="218"/>
        <v>SHAKER KILLER 2</v>
      </c>
      <c r="G510" s="2"/>
    </row>
    <row r="511" spans="1:7">
      <c r="A511" s="22">
        <f t="shared" si="180"/>
        <v>503</v>
      </c>
      <c r="B511" s="10">
        <f t="shared" si="204"/>
        <v>744</v>
      </c>
      <c r="C511" s="24" t="str">
        <f t="shared" si="215"/>
        <v>02E8</v>
      </c>
      <c r="D511" s="2" t="str">
        <f t="shared" si="217"/>
        <v>DI</v>
      </c>
      <c r="E511" s="2" t="s">
        <v>106</v>
      </c>
      <c r="F511" s="20" t="str">
        <f t="shared" si="218"/>
        <v>SHAKER KILLER 2</v>
      </c>
      <c r="G511" s="2"/>
    </row>
    <row r="512" spans="1:7">
      <c r="A512" s="22">
        <f t="shared" si="180"/>
        <v>504</v>
      </c>
      <c r="B512" s="10">
        <f t="shared" si="204"/>
        <v>745</v>
      </c>
      <c r="C512" s="24" t="str">
        <f t="shared" si="215"/>
        <v>02E9</v>
      </c>
      <c r="D512" s="2" t="str">
        <f t="shared" si="217"/>
        <v>DI</v>
      </c>
      <c r="E512" s="2" t="s">
        <v>107</v>
      </c>
      <c r="F512" s="20" t="str">
        <f t="shared" si="218"/>
        <v>SHAKER KILLER 2</v>
      </c>
      <c r="G512" s="2"/>
    </row>
    <row r="513" spans="1:7">
      <c r="A513" s="22">
        <f t="shared" si="180"/>
        <v>505</v>
      </c>
      <c r="B513" s="10">
        <f t="shared" si="204"/>
        <v>746</v>
      </c>
      <c r="C513" s="24" t="str">
        <f t="shared" si="215"/>
        <v>02EA</v>
      </c>
      <c r="D513" s="2" t="s">
        <v>329</v>
      </c>
      <c r="E513" s="2" t="s">
        <v>29</v>
      </c>
      <c r="F513" s="20" t="s">
        <v>328</v>
      </c>
      <c r="G513" s="2"/>
    </row>
    <row r="514" spans="1:7">
      <c r="A514" s="22">
        <f t="shared" si="180"/>
        <v>506</v>
      </c>
      <c r="B514" s="10">
        <f t="shared" si="204"/>
        <v>747</v>
      </c>
      <c r="C514" s="24" t="str">
        <f t="shared" si="215"/>
        <v>02EB</v>
      </c>
      <c r="D514" s="2" t="s">
        <v>330</v>
      </c>
      <c r="E514" s="2" t="s">
        <v>1</v>
      </c>
      <c r="F514" s="20" t="s">
        <v>331</v>
      </c>
      <c r="G514" s="2"/>
    </row>
    <row r="515" spans="1:7">
      <c r="A515" s="22">
        <f t="shared" si="180"/>
        <v>507</v>
      </c>
      <c r="B515" s="10">
        <f t="shared" si="204"/>
        <v>748</v>
      </c>
      <c r="C515" s="24" t="str">
        <f t="shared" si="215"/>
        <v>02EC</v>
      </c>
      <c r="D515" s="2" t="str">
        <f>D514</f>
        <v>DT</v>
      </c>
      <c r="E515" s="2" t="s">
        <v>2</v>
      </c>
      <c r="F515" s="20" t="str">
        <f>F514</f>
        <v>VSYNC GATE ARRAY</v>
      </c>
      <c r="G515" s="2"/>
    </row>
    <row r="516" spans="1:7">
      <c r="A516" s="22">
        <f t="shared" si="180"/>
        <v>508</v>
      </c>
      <c r="B516" s="10">
        <f t="shared" si="204"/>
        <v>749</v>
      </c>
      <c r="C516" s="24" t="str">
        <f t="shared" si="215"/>
        <v>02ED</v>
      </c>
      <c r="D516" s="2" t="str">
        <f t="shared" ref="D516:D538" si="219">D515</f>
        <v>DT</v>
      </c>
      <c r="E516" s="2" t="s">
        <v>3</v>
      </c>
      <c r="F516" s="20" t="str">
        <f t="shared" ref="F516:F538" si="220">F515</f>
        <v>VSYNC GATE ARRAY</v>
      </c>
      <c r="G516" s="2"/>
    </row>
    <row r="517" spans="1:7">
      <c r="A517" s="22">
        <f t="shared" si="180"/>
        <v>509</v>
      </c>
      <c r="B517" s="10">
        <f t="shared" si="204"/>
        <v>750</v>
      </c>
      <c r="C517" s="24" t="str">
        <f t="shared" si="215"/>
        <v>02EE</v>
      </c>
      <c r="D517" s="2" t="str">
        <f t="shared" si="219"/>
        <v>DT</v>
      </c>
      <c r="E517" s="2" t="s">
        <v>19</v>
      </c>
      <c r="F517" s="20" t="str">
        <f t="shared" si="220"/>
        <v>VSYNC GATE ARRAY</v>
      </c>
      <c r="G517" s="2"/>
    </row>
    <row r="518" spans="1:7">
      <c r="A518" s="22">
        <f t="shared" si="180"/>
        <v>510</v>
      </c>
      <c r="B518" s="10">
        <f t="shared" si="204"/>
        <v>751</v>
      </c>
      <c r="C518" s="24" t="str">
        <f t="shared" ref="C518:C535" si="221">DEC2HEX(B518,4)</f>
        <v>02EF</v>
      </c>
      <c r="D518" s="2" t="str">
        <f t="shared" si="219"/>
        <v>DT</v>
      </c>
      <c r="E518" s="2" t="s">
        <v>20</v>
      </c>
      <c r="F518" s="20" t="str">
        <f t="shared" si="220"/>
        <v>VSYNC GATE ARRAY</v>
      </c>
      <c r="G518" s="2"/>
    </row>
    <row r="519" spans="1:7">
      <c r="A519" s="22">
        <f t="shared" si="180"/>
        <v>511</v>
      </c>
      <c r="B519" s="10">
        <f t="shared" si="204"/>
        <v>752</v>
      </c>
      <c r="C519" s="24" t="str">
        <f t="shared" si="221"/>
        <v>02F0</v>
      </c>
      <c r="D519" s="2" t="str">
        <f t="shared" si="219"/>
        <v>DT</v>
      </c>
      <c r="E519" s="21" t="s">
        <v>31</v>
      </c>
      <c r="F519" s="20" t="str">
        <f t="shared" si="220"/>
        <v>VSYNC GATE ARRAY</v>
      </c>
      <c r="G519" s="2"/>
    </row>
    <row r="520" spans="1:7">
      <c r="A520" s="22">
        <f t="shared" si="180"/>
        <v>512</v>
      </c>
      <c r="B520" s="10">
        <f t="shared" si="204"/>
        <v>753</v>
      </c>
      <c r="C520" s="24" t="str">
        <f t="shared" si="221"/>
        <v>02F1</v>
      </c>
      <c r="D520" s="2" t="str">
        <f t="shared" si="219"/>
        <v>DT</v>
      </c>
      <c r="E520" s="21" t="s">
        <v>45</v>
      </c>
      <c r="F520" s="20" t="str">
        <f t="shared" si="220"/>
        <v>VSYNC GATE ARRAY</v>
      </c>
      <c r="G520" s="2"/>
    </row>
    <row r="521" spans="1:7">
      <c r="A521" s="22">
        <f t="shared" si="180"/>
        <v>513</v>
      </c>
      <c r="B521" s="10">
        <f t="shared" si="204"/>
        <v>754</v>
      </c>
      <c r="C521" s="24" t="str">
        <f t="shared" si="221"/>
        <v>02F2</v>
      </c>
      <c r="D521" s="2" t="str">
        <f t="shared" si="219"/>
        <v>DT</v>
      </c>
      <c r="E521" s="21" t="s">
        <v>46</v>
      </c>
      <c r="F521" s="20" t="str">
        <f t="shared" si="220"/>
        <v>VSYNC GATE ARRAY</v>
      </c>
      <c r="G521" s="2" t="s">
        <v>399</v>
      </c>
    </row>
    <row r="522" spans="1:7">
      <c r="A522" s="22">
        <f t="shared" ref="A522:A585" si="222">A521+1</f>
        <v>514</v>
      </c>
      <c r="B522" s="10">
        <f t="shared" si="204"/>
        <v>755</v>
      </c>
      <c r="C522" s="24" t="str">
        <f t="shared" si="221"/>
        <v>02F3</v>
      </c>
      <c r="D522" s="2" t="str">
        <f t="shared" si="219"/>
        <v>DT</v>
      </c>
      <c r="E522" s="21" t="s">
        <v>47</v>
      </c>
      <c r="F522" s="20" t="str">
        <f t="shared" si="220"/>
        <v>VSYNC GATE ARRAY</v>
      </c>
      <c r="G522" s="2"/>
    </row>
    <row r="523" spans="1:7">
      <c r="A523" s="22">
        <f t="shared" si="222"/>
        <v>515</v>
      </c>
      <c r="B523" s="10">
        <f t="shared" si="204"/>
        <v>756</v>
      </c>
      <c r="C523" s="24" t="str">
        <f t="shared" si="221"/>
        <v>02F4</v>
      </c>
      <c r="D523" s="2" t="str">
        <f t="shared" si="219"/>
        <v>DT</v>
      </c>
      <c r="E523" s="21" t="s">
        <v>48</v>
      </c>
      <c r="F523" s="20" t="str">
        <f t="shared" si="220"/>
        <v>VSYNC GATE ARRAY</v>
      </c>
      <c r="G523" s="2" t="s">
        <v>399</v>
      </c>
    </row>
    <row r="524" spans="1:7">
      <c r="A524" s="22">
        <f t="shared" si="222"/>
        <v>516</v>
      </c>
      <c r="B524" s="10">
        <f t="shared" si="204"/>
        <v>757</v>
      </c>
      <c r="C524" s="24" t="str">
        <f t="shared" si="221"/>
        <v>02F5</v>
      </c>
      <c r="D524" s="2" t="str">
        <f t="shared" si="219"/>
        <v>DT</v>
      </c>
      <c r="E524" s="21" t="s">
        <v>49</v>
      </c>
      <c r="F524" s="20" t="str">
        <f t="shared" si="220"/>
        <v>VSYNC GATE ARRAY</v>
      </c>
      <c r="G524" s="2"/>
    </row>
    <row r="525" spans="1:7">
      <c r="A525" s="22">
        <f t="shared" si="222"/>
        <v>517</v>
      </c>
      <c r="B525" s="10">
        <f t="shared" si="204"/>
        <v>758</v>
      </c>
      <c r="C525" s="24" t="str">
        <f t="shared" si="221"/>
        <v>02F6</v>
      </c>
      <c r="D525" s="2" t="str">
        <f t="shared" si="219"/>
        <v>DT</v>
      </c>
      <c r="E525" s="21" t="s">
        <v>50</v>
      </c>
      <c r="F525" s="20" t="str">
        <f t="shared" si="220"/>
        <v>VSYNC GATE ARRAY</v>
      </c>
      <c r="G525" s="2"/>
    </row>
    <row r="526" spans="1:7">
      <c r="A526" s="22">
        <f t="shared" si="222"/>
        <v>518</v>
      </c>
      <c r="B526" s="10">
        <f t="shared" si="204"/>
        <v>759</v>
      </c>
      <c r="C526" s="24" t="str">
        <f t="shared" si="221"/>
        <v>02F7</v>
      </c>
      <c r="D526" s="2" t="str">
        <f t="shared" si="219"/>
        <v>DT</v>
      </c>
      <c r="E526" s="21" t="s">
        <v>51</v>
      </c>
      <c r="F526" s="20" t="str">
        <f t="shared" si="220"/>
        <v>VSYNC GATE ARRAY</v>
      </c>
      <c r="G526" s="2"/>
    </row>
    <row r="527" spans="1:7">
      <c r="A527" s="22">
        <f t="shared" si="222"/>
        <v>519</v>
      </c>
      <c r="B527" s="10">
        <f t="shared" si="204"/>
        <v>760</v>
      </c>
      <c r="C527" s="24" t="str">
        <f t="shared" si="221"/>
        <v>02F8</v>
      </c>
      <c r="D527" s="2" t="str">
        <f t="shared" si="219"/>
        <v>DT</v>
      </c>
      <c r="E527" s="21" t="s">
        <v>52</v>
      </c>
      <c r="F527" s="20" t="str">
        <f t="shared" si="220"/>
        <v>VSYNC GATE ARRAY</v>
      </c>
      <c r="G527" s="2"/>
    </row>
    <row r="528" spans="1:7">
      <c r="A528" s="22">
        <f t="shared" si="222"/>
        <v>520</v>
      </c>
      <c r="B528" s="10">
        <f t="shared" si="204"/>
        <v>761</v>
      </c>
      <c r="C528" s="24" t="str">
        <f t="shared" si="221"/>
        <v>02F9</v>
      </c>
      <c r="D528" s="2" t="str">
        <f t="shared" si="219"/>
        <v>DT</v>
      </c>
      <c r="E528" s="21" t="s">
        <v>53</v>
      </c>
      <c r="F528" s="20" t="str">
        <f t="shared" si="220"/>
        <v>VSYNC GATE ARRAY</v>
      </c>
      <c r="G528" s="2"/>
    </row>
    <row r="529" spans="1:7">
      <c r="A529" s="22">
        <f t="shared" si="222"/>
        <v>521</v>
      </c>
      <c r="B529" s="10">
        <f t="shared" si="204"/>
        <v>762</v>
      </c>
      <c r="C529" s="24" t="str">
        <f t="shared" si="221"/>
        <v>02FA</v>
      </c>
      <c r="D529" s="2" t="str">
        <f t="shared" si="219"/>
        <v>DT</v>
      </c>
      <c r="E529" s="21" t="s">
        <v>54</v>
      </c>
      <c r="F529" s="20" t="str">
        <f t="shared" si="220"/>
        <v>VSYNC GATE ARRAY</v>
      </c>
      <c r="G529" s="2"/>
    </row>
    <row r="530" spans="1:7">
      <c r="A530" s="22">
        <f t="shared" si="222"/>
        <v>522</v>
      </c>
      <c r="B530" s="10">
        <f t="shared" si="204"/>
        <v>763</v>
      </c>
      <c r="C530" s="24" t="str">
        <f t="shared" si="221"/>
        <v>02FB</v>
      </c>
      <c r="D530" s="2" t="str">
        <f t="shared" si="219"/>
        <v>DT</v>
      </c>
      <c r="E530" s="21" t="s">
        <v>109</v>
      </c>
      <c r="F530" s="20" t="str">
        <f t="shared" si="220"/>
        <v>VSYNC GATE ARRAY</v>
      </c>
      <c r="G530" s="2"/>
    </row>
    <row r="531" spans="1:7">
      <c r="A531" s="22">
        <f t="shared" si="222"/>
        <v>523</v>
      </c>
      <c r="B531" s="10">
        <f t="shared" si="204"/>
        <v>764</v>
      </c>
      <c r="C531" s="24" t="str">
        <f t="shared" si="221"/>
        <v>02FC</v>
      </c>
      <c r="D531" s="2" t="str">
        <f t="shared" si="219"/>
        <v>DT</v>
      </c>
      <c r="E531" s="21" t="s">
        <v>57</v>
      </c>
      <c r="F531" s="20" t="str">
        <f t="shared" si="220"/>
        <v>VSYNC GATE ARRAY</v>
      </c>
      <c r="G531" s="2"/>
    </row>
    <row r="532" spans="1:7">
      <c r="A532" s="22">
        <f t="shared" si="222"/>
        <v>524</v>
      </c>
      <c r="B532" s="10">
        <f t="shared" si="204"/>
        <v>765</v>
      </c>
      <c r="C532" s="24" t="str">
        <f t="shared" si="221"/>
        <v>02FD</v>
      </c>
      <c r="D532" s="2" t="str">
        <f t="shared" si="219"/>
        <v>DT</v>
      </c>
      <c r="E532" s="21" t="s">
        <v>58</v>
      </c>
      <c r="F532" s="20" t="str">
        <f t="shared" si="220"/>
        <v>VSYNC GATE ARRAY</v>
      </c>
      <c r="G532" s="2"/>
    </row>
    <row r="533" spans="1:7">
      <c r="A533" s="22">
        <f t="shared" si="222"/>
        <v>525</v>
      </c>
      <c r="B533" s="10">
        <v>768</v>
      </c>
      <c r="C533" s="24" t="str">
        <f t="shared" si="221"/>
        <v>0300</v>
      </c>
      <c r="D533" s="2" t="str">
        <f t="shared" si="219"/>
        <v>DT</v>
      </c>
      <c r="E533" s="21" t="s">
        <v>400</v>
      </c>
      <c r="F533" s="20" t="str">
        <f t="shared" si="220"/>
        <v>VSYNC GATE ARRAY</v>
      </c>
      <c r="G533" s="2"/>
    </row>
    <row r="534" spans="1:7">
      <c r="A534" s="22">
        <f t="shared" si="222"/>
        <v>526</v>
      </c>
      <c r="B534" s="10">
        <f t="shared" si="204"/>
        <v>769</v>
      </c>
      <c r="C534" s="24" t="str">
        <f t="shared" si="221"/>
        <v>0301</v>
      </c>
      <c r="D534" s="2" t="str">
        <f t="shared" si="219"/>
        <v>DT</v>
      </c>
      <c r="E534" s="2" t="s">
        <v>401</v>
      </c>
      <c r="F534" s="20" t="str">
        <f t="shared" si="220"/>
        <v>VSYNC GATE ARRAY</v>
      </c>
      <c r="G534" s="2"/>
    </row>
    <row r="535" spans="1:7">
      <c r="A535" s="22">
        <f t="shared" si="222"/>
        <v>527</v>
      </c>
      <c r="B535" s="10">
        <f t="shared" si="204"/>
        <v>770</v>
      </c>
      <c r="C535" s="24" t="str">
        <f t="shared" si="221"/>
        <v>0302</v>
      </c>
      <c r="D535" s="2" t="str">
        <f t="shared" si="219"/>
        <v>DT</v>
      </c>
      <c r="E535" s="2" t="s">
        <v>402</v>
      </c>
      <c r="F535" s="20" t="str">
        <f t="shared" si="220"/>
        <v>VSYNC GATE ARRAY</v>
      </c>
      <c r="G535" s="2"/>
    </row>
    <row r="536" spans="1:7">
      <c r="A536" s="22">
        <f t="shared" si="222"/>
        <v>528</v>
      </c>
      <c r="B536" s="10">
        <f t="shared" si="204"/>
        <v>771</v>
      </c>
      <c r="C536" s="24" t="str">
        <f>DEC2HEX(B536,4)</f>
        <v>0303</v>
      </c>
      <c r="D536" s="2" t="str">
        <f t="shared" si="219"/>
        <v>DT</v>
      </c>
      <c r="E536" s="2" t="s">
        <v>403</v>
      </c>
      <c r="F536" s="20" t="str">
        <f t="shared" si="220"/>
        <v>VSYNC GATE ARRAY</v>
      </c>
      <c r="G536" s="2" t="s">
        <v>407</v>
      </c>
    </row>
    <row r="537" spans="1:7">
      <c r="A537" s="22">
        <f t="shared" si="222"/>
        <v>529</v>
      </c>
      <c r="B537" s="10">
        <f t="shared" si="204"/>
        <v>772</v>
      </c>
      <c r="C537" s="24" t="str">
        <f>DEC2HEX(B537,4)</f>
        <v>0304</v>
      </c>
      <c r="D537" s="2" t="str">
        <f t="shared" si="219"/>
        <v>DT</v>
      </c>
      <c r="E537" s="2" t="s">
        <v>404</v>
      </c>
      <c r="F537" s="20" t="str">
        <f t="shared" si="220"/>
        <v>VSYNC GATE ARRAY</v>
      </c>
      <c r="G537" s="2"/>
    </row>
    <row r="538" spans="1:7">
      <c r="A538" s="22">
        <f t="shared" si="222"/>
        <v>530</v>
      </c>
      <c r="B538" s="10">
        <f t="shared" si="204"/>
        <v>773</v>
      </c>
      <c r="C538" s="24" t="str">
        <f t="shared" ref="C538" si="223">DEC2HEX(B538,4)</f>
        <v>0305</v>
      </c>
      <c r="D538" s="2" t="str">
        <f t="shared" si="219"/>
        <v>DT</v>
      </c>
      <c r="E538" s="2" t="s">
        <v>405</v>
      </c>
      <c r="F538" s="20" t="str">
        <f t="shared" si="220"/>
        <v>VSYNC GATE ARRAY</v>
      </c>
      <c r="G538" s="2" t="s">
        <v>406</v>
      </c>
    </row>
    <row r="539" spans="1:7">
      <c r="A539" s="22">
        <f t="shared" si="222"/>
        <v>531</v>
      </c>
      <c r="B539" s="10">
        <f>B538+1</f>
        <v>774</v>
      </c>
      <c r="C539" s="24" t="str">
        <f t="shared" ref="C539" si="224">DEC2HEX(B539,4)</f>
        <v>0306</v>
      </c>
      <c r="D539" s="2" t="s">
        <v>332</v>
      </c>
      <c r="E539" s="2" t="s">
        <v>1</v>
      </c>
      <c r="F539" s="2" t="s">
        <v>333</v>
      </c>
      <c r="G539" s="2"/>
    </row>
    <row r="540" spans="1:7">
      <c r="A540" s="22">
        <f t="shared" si="222"/>
        <v>532</v>
      </c>
      <c r="B540" s="10">
        <f>B539+1</f>
        <v>775</v>
      </c>
      <c r="C540" s="24" t="str">
        <f t="shared" ref="C540" si="225">DEC2HEX(B540,4)</f>
        <v>0307</v>
      </c>
      <c r="D540" s="2" t="str">
        <f>D539</f>
        <v>DH</v>
      </c>
      <c r="E540" s="2" t="s">
        <v>2</v>
      </c>
      <c r="F540" s="2" t="str">
        <f>F539</f>
        <v>HSYNC GATE ARRAY</v>
      </c>
      <c r="G540" s="2"/>
    </row>
    <row r="541" spans="1:7">
      <c r="A541" s="22">
        <f t="shared" si="222"/>
        <v>533</v>
      </c>
      <c r="B541" s="10">
        <f>B540+1</f>
        <v>776</v>
      </c>
      <c r="C541" s="24" t="str">
        <f t="shared" ref="C541" si="226">DEC2HEX(B541,4)</f>
        <v>0308</v>
      </c>
      <c r="D541" s="2" t="str">
        <f t="shared" ref="D541:D548" si="227">D540</f>
        <v>DH</v>
      </c>
      <c r="E541" s="2" t="s">
        <v>3</v>
      </c>
      <c r="F541" s="2" t="str">
        <f t="shared" ref="F541:F548" si="228">F540</f>
        <v>HSYNC GATE ARRAY</v>
      </c>
      <c r="G541" s="2"/>
    </row>
    <row r="542" spans="1:7">
      <c r="A542" s="22">
        <f t="shared" si="222"/>
        <v>534</v>
      </c>
      <c r="B542" s="10">
        <f t="shared" ref="B542:B602" si="229">B541+1</f>
        <v>777</v>
      </c>
      <c r="C542" s="24" t="str">
        <f t="shared" ref="C542" si="230">DEC2HEX(B542,4)</f>
        <v>0309</v>
      </c>
      <c r="D542" s="2" t="str">
        <f t="shared" si="227"/>
        <v>DH</v>
      </c>
      <c r="E542" s="2" t="s">
        <v>4</v>
      </c>
      <c r="F542" s="2" t="str">
        <f t="shared" si="228"/>
        <v>HSYNC GATE ARRAY</v>
      </c>
      <c r="G542" s="2"/>
    </row>
    <row r="543" spans="1:7">
      <c r="A543" s="22">
        <f t="shared" si="222"/>
        <v>535</v>
      </c>
      <c r="B543" s="10">
        <f t="shared" si="229"/>
        <v>778</v>
      </c>
      <c r="C543" s="24" t="str">
        <f t="shared" ref="C543" si="231">DEC2HEX(B543,4)</f>
        <v>030A</v>
      </c>
      <c r="D543" s="2" t="str">
        <f t="shared" si="227"/>
        <v>DH</v>
      </c>
      <c r="E543" s="2" t="s">
        <v>5</v>
      </c>
      <c r="F543" s="2" t="str">
        <f t="shared" si="228"/>
        <v>HSYNC GATE ARRAY</v>
      </c>
      <c r="G543" s="2"/>
    </row>
    <row r="544" spans="1:7">
      <c r="A544" s="22">
        <f t="shared" si="222"/>
        <v>536</v>
      </c>
      <c r="B544" s="10">
        <f t="shared" si="229"/>
        <v>779</v>
      </c>
      <c r="C544" s="24" t="str">
        <f t="shared" ref="C544" si="232">DEC2HEX(B544,4)</f>
        <v>030B</v>
      </c>
      <c r="D544" s="2" t="str">
        <f t="shared" si="227"/>
        <v>DH</v>
      </c>
      <c r="E544" s="2" t="s">
        <v>6</v>
      </c>
      <c r="F544" s="2" t="str">
        <f t="shared" si="228"/>
        <v>HSYNC GATE ARRAY</v>
      </c>
      <c r="G544" s="2"/>
    </row>
    <row r="545" spans="1:7">
      <c r="A545" s="22">
        <f t="shared" si="222"/>
        <v>537</v>
      </c>
      <c r="B545" s="10">
        <f t="shared" si="229"/>
        <v>780</v>
      </c>
      <c r="C545" s="24" t="str">
        <f t="shared" ref="C545" si="233">DEC2HEX(B545,4)</f>
        <v>030C</v>
      </c>
      <c r="D545" s="2" t="str">
        <f t="shared" si="227"/>
        <v>DH</v>
      </c>
      <c r="E545" s="2" t="s">
        <v>7</v>
      </c>
      <c r="F545" s="2" t="str">
        <f t="shared" si="228"/>
        <v>HSYNC GATE ARRAY</v>
      </c>
      <c r="G545" s="2"/>
    </row>
    <row r="546" spans="1:7">
      <c r="A546" s="22">
        <f t="shared" si="222"/>
        <v>538</v>
      </c>
      <c r="B546" s="10">
        <f t="shared" si="229"/>
        <v>781</v>
      </c>
      <c r="C546" s="24" t="str">
        <f t="shared" ref="C546" si="234">DEC2HEX(B546,4)</f>
        <v>030D</v>
      </c>
      <c r="D546" s="2" t="str">
        <f t="shared" si="227"/>
        <v>DH</v>
      </c>
      <c r="E546" s="2" t="s">
        <v>8</v>
      </c>
      <c r="F546" s="2" t="str">
        <f t="shared" si="228"/>
        <v>HSYNC GATE ARRAY</v>
      </c>
      <c r="G546" s="2"/>
    </row>
    <row r="547" spans="1:7">
      <c r="A547" s="22">
        <f t="shared" si="222"/>
        <v>539</v>
      </c>
      <c r="B547" s="10">
        <f t="shared" si="229"/>
        <v>782</v>
      </c>
      <c r="C547" s="24" t="str">
        <f t="shared" ref="C547" si="235">DEC2HEX(B547,4)</f>
        <v>030E</v>
      </c>
      <c r="D547" s="2" t="str">
        <f t="shared" si="227"/>
        <v>DH</v>
      </c>
      <c r="E547" s="2" t="s">
        <v>19</v>
      </c>
      <c r="F547" s="2" t="str">
        <f t="shared" si="228"/>
        <v>HSYNC GATE ARRAY</v>
      </c>
      <c r="G547" s="2"/>
    </row>
    <row r="548" spans="1:7">
      <c r="A548" s="22">
        <f t="shared" si="222"/>
        <v>540</v>
      </c>
      <c r="B548" s="10">
        <f t="shared" si="229"/>
        <v>783</v>
      </c>
      <c r="C548" s="24" t="str">
        <f t="shared" ref="C548" si="236">DEC2HEX(B548,4)</f>
        <v>030F</v>
      </c>
      <c r="D548" s="2" t="str">
        <f t="shared" si="227"/>
        <v>DH</v>
      </c>
      <c r="E548" s="2" t="s">
        <v>20</v>
      </c>
      <c r="F548" s="2" t="str">
        <f t="shared" si="228"/>
        <v>HSYNC GATE ARRAY</v>
      </c>
      <c r="G548" s="2"/>
    </row>
    <row r="549" spans="1:7">
      <c r="A549" s="22">
        <f t="shared" si="222"/>
        <v>541</v>
      </c>
      <c r="B549" s="10">
        <f t="shared" si="229"/>
        <v>784</v>
      </c>
      <c r="C549" s="24" t="str">
        <f t="shared" ref="C549" si="237">DEC2HEX(B549,4)</f>
        <v>0310</v>
      </c>
      <c r="D549" s="2" t="s">
        <v>45</v>
      </c>
      <c r="E549" s="2" t="s">
        <v>1</v>
      </c>
      <c r="F549" s="2" t="s">
        <v>334</v>
      </c>
      <c r="G549" s="2"/>
    </row>
    <row r="550" spans="1:7">
      <c r="A550" s="22">
        <f t="shared" si="222"/>
        <v>542</v>
      </c>
      <c r="B550" s="10">
        <f t="shared" si="229"/>
        <v>785</v>
      </c>
      <c r="C550" s="24" t="str">
        <f t="shared" ref="C550" si="238">DEC2HEX(B550,4)</f>
        <v>0311</v>
      </c>
      <c r="D550" s="2" t="str">
        <f>D549</f>
        <v>D1</v>
      </c>
      <c r="E550" s="2" t="s">
        <v>2</v>
      </c>
      <c r="F550" s="2" t="str">
        <f>F549</f>
        <v>CSYNC4 VS 2 X CSYNC2</v>
      </c>
      <c r="G550" s="2"/>
    </row>
    <row r="551" spans="1:7">
      <c r="A551" s="22">
        <f t="shared" si="222"/>
        <v>543</v>
      </c>
      <c r="B551" s="10">
        <f t="shared" si="229"/>
        <v>786</v>
      </c>
      <c r="C551" s="24" t="str">
        <f t="shared" ref="C551" si="239">DEC2HEX(B551,4)</f>
        <v>0312</v>
      </c>
      <c r="D551" s="2" t="s">
        <v>46</v>
      </c>
      <c r="E551" s="2" t="s">
        <v>1</v>
      </c>
      <c r="F551" s="2" t="s">
        <v>335</v>
      </c>
      <c r="G551" s="2"/>
    </row>
    <row r="552" spans="1:7">
      <c r="A552" s="22">
        <f t="shared" si="222"/>
        <v>544</v>
      </c>
      <c r="B552" s="10">
        <f t="shared" si="229"/>
        <v>787</v>
      </c>
      <c r="C552" s="24" t="str">
        <f t="shared" ref="C552" si="240">DEC2HEX(B552,4)</f>
        <v>0313</v>
      </c>
      <c r="D552" s="2" t="str">
        <f>D551</f>
        <v>D2</v>
      </c>
      <c r="E552" s="2" t="s">
        <v>2</v>
      </c>
      <c r="F552" s="2" t="str">
        <f>F551</f>
        <v>CSYNC NOT RELATED TO R2.JIT</v>
      </c>
      <c r="G552" s="2"/>
    </row>
    <row r="553" spans="1:7">
      <c r="A553" s="22">
        <f t="shared" si="222"/>
        <v>545</v>
      </c>
      <c r="B553" s="10">
        <f t="shared" si="229"/>
        <v>788</v>
      </c>
      <c r="C553" s="24" t="str">
        <f t="shared" ref="C553" si="241">DEC2HEX(B553,4)</f>
        <v>0314</v>
      </c>
      <c r="D553" s="2" t="s">
        <v>336</v>
      </c>
      <c r="E553" s="2" t="s">
        <v>1</v>
      </c>
      <c r="F553" s="2" t="s">
        <v>337</v>
      </c>
      <c r="G553" s="2"/>
    </row>
    <row r="554" spans="1:7">
      <c r="A554" s="22">
        <f t="shared" si="222"/>
        <v>546</v>
      </c>
      <c r="B554" s="10">
        <f t="shared" si="229"/>
        <v>789</v>
      </c>
      <c r="C554" s="24" t="str">
        <f t="shared" ref="C554" si="242">DEC2HEX(B554,4)</f>
        <v>0315</v>
      </c>
      <c r="D554" s="2" t="str">
        <f>D553</f>
        <v>D3</v>
      </c>
      <c r="E554" s="2" t="s">
        <v>2</v>
      </c>
      <c r="F554" s="2" t="str">
        <f>F553</f>
        <v>2XCSYNC RELATIVE</v>
      </c>
      <c r="G554" s="2"/>
    </row>
    <row r="555" spans="1:7">
      <c r="A555" s="22">
        <f t="shared" si="222"/>
        <v>547</v>
      </c>
      <c r="B555" s="10">
        <f t="shared" si="229"/>
        <v>790</v>
      </c>
      <c r="C555" s="24" t="str">
        <f t="shared" ref="C555" si="243">DEC2HEX(B555,4)</f>
        <v>0316</v>
      </c>
      <c r="D555" s="2" t="str">
        <f t="shared" ref="D555:D596" si="244">D554</f>
        <v>D3</v>
      </c>
      <c r="E555" s="2" t="s">
        <v>3</v>
      </c>
      <c r="F555" s="2" t="str">
        <f t="shared" ref="F555:F596" si="245">F554</f>
        <v>2XCSYNC RELATIVE</v>
      </c>
      <c r="G555" s="2"/>
    </row>
    <row r="556" spans="1:7">
      <c r="A556" s="22">
        <f t="shared" si="222"/>
        <v>548</v>
      </c>
      <c r="B556" s="10">
        <f t="shared" si="229"/>
        <v>791</v>
      </c>
      <c r="C556" s="24" t="str">
        <f t="shared" ref="C556" si="246">DEC2HEX(B556,4)</f>
        <v>0317</v>
      </c>
      <c r="D556" s="2" t="str">
        <f t="shared" si="244"/>
        <v>D3</v>
      </c>
      <c r="E556" s="2" t="s">
        <v>4</v>
      </c>
      <c r="F556" s="2" t="str">
        <f t="shared" si="245"/>
        <v>2XCSYNC RELATIVE</v>
      </c>
      <c r="G556" s="2"/>
    </row>
    <row r="557" spans="1:7">
      <c r="A557" s="22">
        <f t="shared" si="222"/>
        <v>549</v>
      </c>
      <c r="B557" s="10">
        <f t="shared" si="229"/>
        <v>792</v>
      </c>
      <c r="C557" s="24" t="str">
        <f t="shared" ref="C557" si="247">DEC2HEX(B557,4)</f>
        <v>0318</v>
      </c>
      <c r="D557" s="2" t="str">
        <f t="shared" si="244"/>
        <v>D3</v>
      </c>
      <c r="E557" s="2" t="s">
        <v>5</v>
      </c>
      <c r="F557" s="2" t="str">
        <f t="shared" si="245"/>
        <v>2XCSYNC RELATIVE</v>
      </c>
      <c r="G557" s="2"/>
    </row>
    <row r="558" spans="1:7">
      <c r="A558" s="22">
        <f t="shared" si="222"/>
        <v>550</v>
      </c>
      <c r="B558" s="10">
        <f t="shared" si="229"/>
        <v>793</v>
      </c>
      <c r="C558" s="24" t="str">
        <f t="shared" ref="C558" si="248">DEC2HEX(B558,4)</f>
        <v>0319</v>
      </c>
      <c r="D558" s="2" t="str">
        <f t="shared" si="244"/>
        <v>D3</v>
      </c>
      <c r="E558" s="2" t="s">
        <v>6</v>
      </c>
      <c r="F558" s="2" t="str">
        <f t="shared" si="245"/>
        <v>2XCSYNC RELATIVE</v>
      </c>
      <c r="G558" s="2"/>
    </row>
    <row r="559" spans="1:7">
      <c r="A559" s="22">
        <f t="shared" si="222"/>
        <v>551</v>
      </c>
      <c r="B559" s="10">
        <f t="shared" si="229"/>
        <v>794</v>
      </c>
      <c r="C559" s="24" t="str">
        <f t="shared" ref="C559" si="249">DEC2HEX(B559,4)</f>
        <v>031A</v>
      </c>
      <c r="D559" s="2" t="str">
        <f t="shared" si="244"/>
        <v>D3</v>
      </c>
      <c r="E559" s="2" t="s">
        <v>7</v>
      </c>
      <c r="F559" s="2" t="str">
        <f t="shared" si="245"/>
        <v>2XCSYNC RELATIVE</v>
      </c>
      <c r="G559" s="2"/>
    </row>
    <row r="560" spans="1:7">
      <c r="A560" s="22">
        <f t="shared" si="222"/>
        <v>552</v>
      </c>
      <c r="B560" s="10">
        <f t="shared" si="229"/>
        <v>795</v>
      </c>
      <c r="C560" s="24" t="str">
        <f t="shared" ref="C560" si="250">DEC2HEX(B560,4)</f>
        <v>031B</v>
      </c>
      <c r="D560" s="2" t="str">
        <f t="shared" si="244"/>
        <v>D3</v>
      </c>
      <c r="E560" s="2" t="s">
        <v>8</v>
      </c>
      <c r="F560" s="2" t="str">
        <f t="shared" si="245"/>
        <v>2XCSYNC RELATIVE</v>
      </c>
      <c r="G560" s="2"/>
    </row>
    <row r="561" spans="1:7">
      <c r="A561" s="22">
        <f t="shared" si="222"/>
        <v>553</v>
      </c>
      <c r="B561" s="10">
        <f t="shared" si="229"/>
        <v>796</v>
      </c>
      <c r="C561" s="24" t="str">
        <f t="shared" ref="C561" si="251">DEC2HEX(B561,4)</f>
        <v>031C</v>
      </c>
      <c r="D561" s="2" t="str">
        <f t="shared" si="244"/>
        <v>D3</v>
      </c>
      <c r="E561" s="2" t="s">
        <v>9</v>
      </c>
      <c r="F561" s="2" t="str">
        <f t="shared" si="245"/>
        <v>2XCSYNC RELATIVE</v>
      </c>
      <c r="G561" s="2"/>
    </row>
    <row r="562" spans="1:7">
      <c r="A562" s="22">
        <f t="shared" si="222"/>
        <v>554</v>
      </c>
      <c r="B562" s="10">
        <f t="shared" si="229"/>
        <v>797</v>
      </c>
      <c r="C562" s="24" t="str">
        <f t="shared" ref="C562" si="252">DEC2HEX(B562,4)</f>
        <v>031D</v>
      </c>
      <c r="D562" s="2" t="str">
        <f t="shared" si="244"/>
        <v>D3</v>
      </c>
      <c r="E562" s="2" t="s">
        <v>84</v>
      </c>
      <c r="F562" s="2" t="str">
        <f t="shared" si="245"/>
        <v>2XCSYNC RELATIVE</v>
      </c>
      <c r="G562" s="2"/>
    </row>
    <row r="563" spans="1:7">
      <c r="A563" s="22">
        <f t="shared" si="222"/>
        <v>555</v>
      </c>
      <c r="B563" s="10">
        <f t="shared" si="229"/>
        <v>798</v>
      </c>
      <c r="C563" s="24" t="str">
        <f t="shared" ref="C563" si="253">DEC2HEX(B563,4)</f>
        <v>031E</v>
      </c>
      <c r="D563" s="2" t="str">
        <f t="shared" si="244"/>
        <v>D3</v>
      </c>
      <c r="E563" s="21" t="s">
        <v>409</v>
      </c>
      <c r="F563" s="2" t="str">
        <f t="shared" si="245"/>
        <v>2XCSYNC RELATIVE</v>
      </c>
      <c r="G563" s="2"/>
    </row>
    <row r="564" spans="1:7">
      <c r="A564" s="22">
        <f t="shared" si="222"/>
        <v>556</v>
      </c>
      <c r="B564" s="10">
        <f t="shared" si="229"/>
        <v>799</v>
      </c>
      <c r="C564" s="24" t="str">
        <f t="shared" ref="C564" si="254">DEC2HEX(B564,4)</f>
        <v>031F</v>
      </c>
      <c r="D564" s="2" t="str">
        <f t="shared" si="244"/>
        <v>D3</v>
      </c>
      <c r="E564" s="21" t="s">
        <v>19</v>
      </c>
      <c r="F564" s="2" t="str">
        <f t="shared" si="245"/>
        <v>2XCSYNC RELATIVE</v>
      </c>
      <c r="G564" s="2"/>
    </row>
    <row r="565" spans="1:7">
      <c r="A565" s="22">
        <f t="shared" si="222"/>
        <v>557</v>
      </c>
      <c r="B565" s="10">
        <f t="shared" si="229"/>
        <v>800</v>
      </c>
      <c r="C565" s="24" t="str">
        <f t="shared" ref="C565" si="255">DEC2HEX(B565,4)</f>
        <v>0320</v>
      </c>
      <c r="D565" s="2" t="str">
        <f t="shared" si="244"/>
        <v>D3</v>
      </c>
      <c r="E565" s="21" t="s">
        <v>20</v>
      </c>
      <c r="F565" s="2" t="str">
        <f t="shared" si="245"/>
        <v>2XCSYNC RELATIVE</v>
      </c>
      <c r="G565" s="2"/>
    </row>
    <row r="566" spans="1:7">
      <c r="A566" s="22">
        <f t="shared" si="222"/>
        <v>558</v>
      </c>
      <c r="B566" s="10">
        <f t="shared" si="229"/>
        <v>801</v>
      </c>
      <c r="C566" s="24" t="str">
        <f t="shared" ref="C566" si="256">DEC2HEX(B566,4)</f>
        <v>0321</v>
      </c>
      <c r="D566" s="2" t="str">
        <f t="shared" si="244"/>
        <v>D3</v>
      </c>
      <c r="E566" s="21" t="s">
        <v>42</v>
      </c>
      <c r="F566" s="2" t="str">
        <f t="shared" si="245"/>
        <v>2XCSYNC RELATIVE</v>
      </c>
      <c r="G566" s="2"/>
    </row>
    <row r="567" spans="1:7">
      <c r="A567" s="22">
        <f t="shared" si="222"/>
        <v>559</v>
      </c>
      <c r="B567" s="10">
        <f t="shared" si="229"/>
        <v>802</v>
      </c>
      <c r="C567" s="24" t="str">
        <f t="shared" ref="C567" si="257">DEC2HEX(B567,4)</f>
        <v>0322</v>
      </c>
      <c r="D567" s="2" t="str">
        <f t="shared" si="244"/>
        <v>D3</v>
      </c>
      <c r="E567" s="21" t="s">
        <v>21</v>
      </c>
      <c r="F567" s="2" t="str">
        <f t="shared" si="245"/>
        <v>2XCSYNC RELATIVE</v>
      </c>
      <c r="G567" s="2"/>
    </row>
    <row r="568" spans="1:7">
      <c r="A568" s="22">
        <f t="shared" si="222"/>
        <v>560</v>
      </c>
      <c r="B568" s="10">
        <f t="shared" si="229"/>
        <v>803</v>
      </c>
      <c r="C568" s="24" t="str">
        <f t="shared" ref="C568" si="258">DEC2HEX(B568,4)</f>
        <v>0323</v>
      </c>
      <c r="D568" s="2" t="str">
        <f t="shared" si="244"/>
        <v>D3</v>
      </c>
      <c r="E568" s="21" t="s">
        <v>22</v>
      </c>
      <c r="F568" s="2" t="str">
        <f t="shared" si="245"/>
        <v>2XCSYNC RELATIVE</v>
      </c>
      <c r="G568" s="2"/>
    </row>
    <row r="569" spans="1:7">
      <c r="A569" s="22">
        <f t="shared" si="222"/>
        <v>561</v>
      </c>
      <c r="B569" s="10">
        <f t="shared" si="229"/>
        <v>804</v>
      </c>
      <c r="C569" s="24" t="str">
        <f t="shared" ref="C569" si="259">DEC2HEX(B569,4)</f>
        <v>0324</v>
      </c>
      <c r="D569" s="2" t="str">
        <f t="shared" si="244"/>
        <v>D3</v>
      </c>
      <c r="E569" s="21" t="s">
        <v>23</v>
      </c>
      <c r="F569" s="2" t="str">
        <f t="shared" si="245"/>
        <v>2XCSYNC RELATIVE</v>
      </c>
      <c r="G569" s="2"/>
    </row>
    <row r="570" spans="1:7">
      <c r="A570" s="22">
        <f t="shared" si="222"/>
        <v>562</v>
      </c>
      <c r="B570" s="10">
        <f t="shared" si="229"/>
        <v>805</v>
      </c>
      <c r="C570" s="24" t="str">
        <f t="shared" ref="C570" si="260">DEC2HEX(B570,4)</f>
        <v>0325</v>
      </c>
      <c r="D570" s="2" t="str">
        <f t="shared" si="244"/>
        <v>D3</v>
      </c>
      <c r="E570" s="21" t="s">
        <v>24</v>
      </c>
      <c r="F570" s="2" t="str">
        <f t="shared" si="245"/>
        <v>2XCSYNC RELATIVE</v>
      </c>
      <c r="G570" s="2"/>
    </row>
    <row r="571" spans="1:7">
      <c r="A571" s="22">
        <f t="shared" si="222"/>
        <v>563</v>
      </c>
      <c r="B571" s="10">
        <f t="shared" si="229"/>
        <v>806</v>
      </c>
      <c r="C571" s="24" t="str">
        <f t="shared" ref="C571" si="261">DEC2HEX(B571,4)</f>
        <v>0326</v>
      </c>
      <c r="D571" s="2" t="str">
        <f t="shared" si="244"/>
        <v>D3</v>
      </c>
      <c r="E571" s="21" t="s">
        <v>271</v>
      </c>
      <c r="F571" s="2" t="str">
        <f t="shared" si="245"/>
        <v>2XCSYNC RELATIVE</v>
      </c>
      <c r="G571" s="2"/>
    </row>
    <row r="572" spans="1:7">
      <c r="A572" s="22">
        <f t="shared" si="222"/>
        <v>564</v>
      </c>
      <c r="B572" s="10">
        <f t="shared" si="229"/>
        <v>807</v>
      </c>
      <c r="C572" s="24" t="str">
        <f t="shared" ref="C572:C635" si="262">DEC2HEX(B572,4)</f>
        <v>0327</v>
      </c>
      <c r="D572" s="2" t="str">
        <f t="shared" si="244"/>
        <v>D3</v>
      </c>
      <c r="E572" s="21" t="s">
        <v>25</v>
      </c>
      <c r="F572" s="2" t="str">
        <f t="shared" si="245"/>
        <v>2XCSYNC RELATIVE</v>
      </c>
      <c r="G572" s="2"/>
    </row>
    <row r="573" spans="1:7">
      <c r="A573" s="22">
        <f t="shared" si="222"/>
        <v>565</v>
      </c>
      <c r="B573" s="10">
        <f t="shared" si="229"/>
        <v>808</v>
      </c>
      <c r="C573" s="24" t="str">
        <f t="shared" si="262"/>
        <v>0328</v>
      </c>
      <c r="D573" s="2" t="str">
        <f t="shared" si="244"/>
        <v>D3</v>
      </c>
      <c r="E573" s="2" t="s">
        <v>272</v>
      </c>
      <c r="F573" s="2" t="str">
        <f t="shared" si="245"/>
        <v>2XCSYNC RELATIVE</v>
      </c>
      <c r="G573" s="2"/>
    </row>
    <row r="574" spans="1:7">
      <c r="A574" s="22">
        <f t="shared" si="222"/>
        <v>566</v>
      </c>
      <c r="B574" s="10">
        <f t="shared" si="229"/>
        <v>809</v>
      </c>
      <c r="C574" s="24" t="str">
        <f t="shared" si="262"/>
        <v>0329</v>
      </c>
      <c r="D574" s="2" t="str">
        <f t="shared" si="244"/>
        <v>D3</v>
      </c>
      <c r="E574" s="2" t="s">
        <v>410</v>
      </c>
      <c r="F574" s="2" t="str">
        <f t="shared" si="245"/>
        <v>2XCSYNC RELATIVE</v>
      </c>
      <c r="G574" s="2"/>
    </row>
    <row r="575" spans="1:7">
      <c r="A575" s="22">
        <f t="shared" si="222"/>
        <v>567</v>
      </c>
      <c r="B575" s="10">
        <f t="shared" si="229"/>
        <v>810</v>
      </c>
      <c r="C575" s="24" t="str">
        <f t="shared" si="262"/>
        <v>032A</v>
      </c>
      <c r="D575" s="2" t="str">
        <f t="shared" si="244"/>
        <v>D3</v>
      </c>
      <c r="E575" s="2" t="s">
        <v>43</v>
      </c>
      <c r="F575" s="2" t="str">
        <f t="shared" si="245"/>
        <v>2XCSYNC RELATIVE</v>
      </c>
      <c r="G575" s="2"/>
    </row>
    <row r="576" spans="1:7">
      <c r="A576" s="22">
        <f t="shared" si="222"/>
        <v>568</v>
      </c>
      <c r="B576" s="10">
        <f t="shared" si="229"/>
        <v>811</v>
      </c>
      <c r="C576" s="24" t="str">
        <f t="shared" si="262"/>
        <v>032B</v>
      </c>
      <c r="D576" s="2" t="str">
        <f t="shared" si="244"/>
        <v>D3</v>
      </c>
      <c r="E576" s="2" t="s">
        <v>44</v>
      </c>
      <c r="F576" s="2" t="str">
        <f t="shared" si="245"/>
        <v>2XCSYNC RELATIVE</v>
      </c>
      <c r="G576" s="2"/>
    </row>
    <row r="577" spans="1:7">
      <c r="A577" s="22">
        <f t="shared" si="222"/>
        <v>569</v>
      </c>
      <c r="B577" s="10">
        <f t="shared" si="229"/>
        <v>812</v>
      </c>
      <c r="C577" s="24" t="str">
        <f t="shared" si="262"/>
        <v>032C</v>
      </c>
      <c r="D577" s="2" t="str">
        <f t="shared" si="244"/>
        <v>D3</v>
      </c>
      <c r="E577" s="2" t="s">
        <v>273</v>
      </c>
      <c r="F577" s="2" t="str">
        <f t="shared" si="245"/>
        <v>2XCSYNC RELATIVE</v>
      </c>
      <c r="G577" s="2"/>
    </row>
    <row r="578" spans="1:7">
      <c r="A578" s="22">
        <f t="shared" si="222"/>
        <v>570</v>
      </c>
      <c r="B578" s="10">
        <f t="shared" si="229"/>
        <v>813</v>
      </c>
      <c r="C578" s="24" t="str">
        <f t="shared" si="262"/>
        <v>032D</v>
      </c>
      <c r="D578" s="2" t="str">
        <f t="shared" si="244"/>
        <v>D3</v>
      </c>
      <c r="E578" s="2" t="s">
        <v>274</v>
      </c>
      <c r="F578" s="2" t="str">
        <f t="shared" si="245"/>
        <v>2XCSYNC RELATIVE</v>
      </c>
      <c r="G578" s="2"/>
    </row>
    <row r="579" spans="1:7">
      <c r="A579" s="22">
        <f t="shared" si="222"/>
        <v>571</v>
      </c>
      <c r="B579" s="10">
        <f t="shared" si="229"/>
        <v>814</v>
      </c>
      <c r="C579" s="24" t="str">
        <f t="shared" si="262"/>
        <v>032E</v>
      </c>
      <c r="D579" s="2" t="str">
        <f t="shared" si="244"/>
        <v>D3</v>
      </c>
      <c r="E579" s="2" t="s">
        <v>275</v>
      </c>
      <c r="F579" s="2" t="str">
        <f t="shared" si="245"/>
        <v>2XCSYNC RELATIVE</v>
      </c>
      <c r="G579" s="2"/>
    </row>
    <row r="580" spans="1:7">
      <c r="A580" s="22">
        <f t="shared" si="222"/>
        <v>572</v>
      </c>
      <c r="B580" s="10">
        <f t="shared" si="229"/>
        <v>815</v>
      </c>
      <c r="C580" s="24" t="str">
        <f t="shared" si="262"/>
        <v>032F</v>
      </c>
      <c r="D580" s="2" t="str">
        <f t="shared" si="244"/>
        <v>D3</v>
      </c>
      <c r="E580" s="21" t="s">
        <v>276</v>
      </c>
      <c r="F580" s="2" t="str">
        <f t="shared" si="245"/>
        <v>2XCSYNC RELATIVE</v>
      </c>
      <c r="G580" s="2"/>
    </row>
    <row r="581" spans="1:7">
      <c r="A581" s="22">
        <f t="shared" si="222"/>
        <v>573</v>
      </c>
      <c r="B581" s="10">
        <f t="shared" si="229"/>
        <v>816</v>
      </c>
      <c r="C581" s="24" t="str">
        <f t="shared" si="262"/>
        <v>0330</v>
      </c>
      <c r="D581" s="2" t="str">
        <f t="shared" si="244"/>
        <v>D3</v>
      </c>
      <c r="E581" s="21" t="s">
        <v>277</v>
      </c>
      <c r="F581" s="2" t="str">
        <f t="shared" si="245"/>
        <v>2XCSYNC RELATIVE</v>
      </c>
      <c r="G581" s="2"/>
    </row>
    <row r="582" spans="1:7">
      <c r="A582" s="22">
        <f t="shared" si="222"/>
        <v>574</v>
      </c>
      <c r="B582" s="10">
        <f t="shared" si="229"/>
        <v>817</v>
      </c>
      <c r="C582" s="24" t="str">
        <f t="shared" si="262"/>
        <v>0331</v>
      </c>
      <c r="D582" s="2" t="str">
        <f t="shared" si="244"/>
        <v>D3</v>
      </c>
      <c r="E582" s="21" t="s">
        <v>278</v>
      </c>
      <c r="F582" s="2" t="str">
        <f t="shared" si="245"/>
        <v>2XCSYNC RELATIVE</v>
      </c>
      <c r="G582" s="2"/>
    </row>
    <row r="583" spans="1:7">
      <c r="A583" s="22">
        <f t="shared" si="222"/>
        <v>575</v>
      </c>
      <c r="B583" s="10">
        <f t="shared" si="229"/>
        <v>818</v>
      </c>
      <c r="C583" s="24" t="str">
        <f t="shared" si="262"/>
        <v>0332</v>
      </c>
      <c r="D583" s="2" t="str">
        <f t="shared" si="244"/>
        <v>D3</v>
      </c>
      <c r="E583" s="21" t="s">
        <v>279</v>
      </c>
      <c r="F583" s="2" t="str">
        <f t="shared" si="245"/>
        <v>2XCSYNC RELATIVE</v>
      </c>
      <c r="G583" s="2"/>
    </row>
    <row r="584" spans="1:7">
      <c r="A584" s="22">
        <f t="shared" si="222"/>
        <v>576</v>
      </c>
      <c r="B584" s="10">
        <f t="shared" si="229"/>
        <v>819</v>
      </c>
      <c r="C584" s="24" t="str">
        <f t="shared" si="262"/>
        <v>0333</v>
      </c>
      <c r="D584" s="2" t="str">
        <f t="shared" si="244"/>
        <v>D3</v>
      </c>
      <c r="E584" s="21" t="s">
        <v>280</v>
      </c>
      <c r="F584" s="2" t="str">
        <f t="shared" si="245"/>
        <v>2XCSYNC RELATIVE</v>
      </c>
      <c r="G584" s="2"/>
    </row>
    <row r="585" spans="1:7">
      <c r="A585" s="22">
        <f t="shared" si="222"/>
        <v>577</v>
      </c>
      <c r="B585" s="10">
        <f t="shared" si="229"/>
        <v>820</v>
      </c>
      <c r="C585" s="24" t="str">
        <f t="shared" si="262"/>
        <v>0334</v>
      </c>
      <c r="D585" s="2" t="str">
        <f t="shared" si="244"/>
        <v>D3</v>
      </c>
      <c r="E585" s="2" t="s">
        <v>408</v>
      </c>
      <c r="F585" s="2" t="str">
        <f t="shared" si="245"/>
        <v>2XCSYNC RELATIVE</v>
      </c>
      <c r="G585" s="2"/>
    </row>
    <row r="586" spans="1:7">
      <c r="A586" s="22">
        <f t="shared" ref="A586:A649" si="263">A585+1</f>
        <v>578</v>
      </c>
      <c r="B586" s="10">
        <f t="shared" si="229"/>
        <v>821</v>
      </c>
      <c r="C586" s="24" t="str">
        <f t="shared" si="262"/>
        <v>0335</v>
      </c>
      <c r="D586" s="2" t="str">
        <f t="shared" si="244"/>
        <v>D3</v>
      </c>
      <c r="E586" s="2" t="s">
        <v>45</v>
      </c>
      <c r="F586" s="2" t="str">
        <f t="shared" si="245"/>
        <v>2XCSYNC RELATIVE</v>
      </c>
      <c r="G586" s="2"/>
    </row>
    <row r="587" spans="1:7">
      <c r="A587" s="22">
        <f t="shared" si="263"/>
        <v>579</v>
      </c>
      <c r="B587" s="10">
        <f t="shared" si="229"/>
        <v>822</v>
      </c>
      <c r="C587" s="24" t="str">
        <f t="shared" si="262"/>
        <v>0336</v>
      </c>
      <c r="D587" s="2" t="str">
        <f t="shared" si="244"/>
        <v>D3</v>
      </c>
      <c r="E587" s="2" t="s">
        <v>46</v>
      </c>
      <c r="F587" s="2" t="str">
        <f t="shared" si="245"/>
        <v>2XCSYNC RELATIVE</v>
      </c>
      <c r="G587" s="2"/>
    </row>
    <row r="588" spans="1:7">
      <c r="A588" s="22">
        <f t="shared" si="263"/>
        <v>580</v>
      </c>
      <c r="B588" s="10">
        <f t="shared" si="229"/>
        <v>823</v>
      </c>
      <c r="C588" s="24" t="str">
        <f t="shared" si="262"/>
        <v>0337</v>
      </c>
      <c r="D588" s="2" t="str">
        <f t="shared" si="244"/>
        <v>D3</v>
      </c>
      <c r="E588" s="2" t="s">
        <v>336</v>
      </c>
      <c r="F588" s="2" t="str">
        <f t="shared" si="245"/>
        <v>2XCSYNC RELATIVE</v>
      </c>
      <c r="G588" s="2"/>
    </row>
    <row r="589" spans="1:7">
      <c r="A589" s="22">
        <f t="shared" si="263"/>
        <v>581</v>
      </c>
      <c r="B589" s="10">
        <f t="shared" si="229"/>
        <v>824</v>
      </c>
      <c r="C589" s="24" t="str">
        <f t="shared" si="262"/>
        <v>0338</v>
      </c>
      <c r="D589" s="2" t="str">
        <f t="shared" si="244"/>
        <v>D3</v>
      </c>
      <c r="E589" s="2" t="s">
        <v>338</v>
      </c>
      <c r="F589" s="2" t="str">
        <f t="shared" si="245"/>
        <v>2XCSYNC RELATIVE</v>
      </c>
      <c r="G589" s="2"/>
    </row>
    <row r="590" spans="1:7">
      <c r="A590" s="22">
        <f t="shared" si="263"/>
        <v>582</v>
      </c>
      <c r="B590" s="10">
        <f t="shared" si="229"/>
        <v>825</v>
      </c>
      <c r="C590" s="24" t="str">
        <f t="shared" si="262"/>
        <v>0339</v>
      </c>
      <c r="D590" s="2" t="str">
        <f t="shared" si="244"/>
        <v>D3</v>
      </c>
      <c r="E590" s="2" t="s">
        <v>339</v>
      </c>
      <c r="F590" s="2" t="str">
        <f t="shared" si="245"/>
        <v>2XCSYNC RELATIVE</v>
      </c>
      <c r="G590" s="2"/>
    </row>
    <row r="591" spans="1:7">
      <c r="A591" s="22">
        <f t="shared" si="263"/>
        <v>583</v>
      </c>
      <c r="B591" s="10">
        <f t="shared" si="229"/>
        <v>826</v>
      </c>
      <c r="C591" s="24" t="str">
        <f t="shared" si="262"/>
        <v>033A</v>
      </c>
      <c r="D591" s="2" t="str">
        <f t="shared" si="244"/>
        <v>D3</v>
      </c>
      <c r="E591" s="2" t="s">
        <v>340</v>
      </c>
      <c r="F591" s="2" t="str">
        <f t="shared" si="245"/>
        <v>2XCSYNC RELATIVE</v>
      </c>
      <c r="G591" s="2"/>
    </row>
    <row r="592" spans="1:7">
      <c r="A592" s="22">
        <f t="shared" si="263"/>
        <v>584</v>
      </c>
      <c r="B592" s="10">
        <f t="shared" si="229"/>
        <v>827</v>
      </c>
      <c r="C592" s="25" t="str">
        <f t="shared" si="262"/>
        <v>033B</v>
      </c>
      <c r="D592" s="2" t="str">
        <f t="shared" si="244"/>
        <v>D3</v>
      </c>
      <c r="E592" s="2" t="s">
        <v>342</v>
      </c>
      <c r="F592" s="2" t="str">
        <f t="shared" si="245"/>
        <v>2XCSYNC RELATIVE</v>
      </c>
      <c r="G592" s="2"/>
    </row>
    <row r="593" spans="1:7">
      <c r="A593" s="22">
        <f t="shared" si="263"/>
        <v>585</v>
      </c>
      <c r="B593" s="10">
        <f t="shared" si="229"/>
        <v>828</v>
      </c>
      <c r="C593" s="24" t="str">
        <f t="shared" si="262"/>
        <v>033C</v>
      </c>
      <c r="D593" s="2" t="str">
        <f t="shared" si="244"/>
        <v>D3</v>
      </c>
      <c r="E593" s="2" t="s">
        <v>341</v>
      </c>
      <c r="F593" s="2" t="str">
        <f t="shared" si="245"/>
        <v>2XCSYNC RELATIVE</v>
      </c>
      <c r="G593" s="2"/>
    </row>
    <row r="594" spans="1:7">
      <c r="A594" s="22">
        <f t="shared" si="263"/>
        <v>586</v>
      </c>
      <c r="B594" s="10">
        <f t="shared" si="229"/>
        <v>829</v>
      </c>
      <c r="C594" s="24" t="str">
        <f t="shared" si="262"/>
        <v>033D</v>
      </c>
      <c r="D594" s="2" t="str">
        <f t="shared" si="244"/>
        <v>D3</v>
      </c>
      <c r="E594" s="2" t="s">
        <v>343</v>
      </c>
      <c r="F594" s="2" t="str">
        <f t="shared" si="245"/>
        <v>2XCSYNC RELATIVE</v>
      </c>
      <c r="G594" s="2"/>
    </row>
    <row r="595" spans="1:7">
      <c r="A595" s="22">
        <f t="shared" si="263"/>
        <v>587</v>
      </c>
      <c r="B595" s="18">
        <f t="shared" si="229"/>
        <v>830</v>
      </c>
      <c r="C595" s="24" t="str">
        <f t="shared" si="262"/>
        <v>033E</v>
      </c>
      <c r="D595" s="2" t="str">
        <f t="shared" si="244"/>
        <v>D3</v>
      </c>
      <c r="E595" s="2" t="s">
        <v>344</v>
      </c>
      <c r="F595" s="2" t="str">
        <f t="shared" si="245"/>
        <v>2XCSYNC RELATIVE</v>
      </c>
      <c r="G595" s="19"/>
    </row>
    <row r="596" spans="1:7">
      <c r="A596" s="22">
        <f t="shared" si="263"/>
        <v>588</v>
      </c>
      <c r="B596" s="10">
        <f t="shared" si="229"/>
        <v>831</v>
      </c>
      <c r="C596" s="24" t="str">
        <f t="shared" si="262"/>
        <v>033F</v>
      </c>
      <c r="D596" s="2" t="str">
        <f t="shared" si="244"/>
        <v>D3</v>
      </c>
      <c r="E596" s="2" t="s">
        <v>411</v>
      </c>
      <c r="F596" s="2" t="str">
        <f t="shared" si="245"/>
        <v>2XCSYNC RELATIVE</v>
      </c>
      <c r="G596" s="2"/>
    </row>
    <row r="597" spans="1:7">
      <c r="A597" s="22">
        <f t="shared" si="263"/>
        <v>589</v>
      </c>
      <c r="B597" s="10">
        <f>B596+64</f>
        <v>895</v>
      </c>
      <c r="C597" s="24" t="str">
        <f t="shared" si="262"/>
        <v>037F</v>
      </c>
      <c r="D597" s="2" t="s">
        <v>338</v>
      </c>
      <c r="E597" s="2" t="s">
        <v>29</v>
      </c>
      <c r="F597" s="20" t="s">
        <v>345</v>
      </c>
      <c r="G597" s="2"/>
    </row>
    <row r="598" spans="1:7">
      <c r="A598" s="22">
        <f t="shared" si="263"/>
        <v>590</v>
      </c>
      <c r="B598" s="10">
        <f t="shared" si="229"/>
        <v>896</v>
      </c>
      <c r="C598" s="24" t="str">
        <f t="shared" si="262"/>
        <v>0380</v>
      </c>
      <c r="D598" s="2" t="str">
        <f>D597</f>
        <v>D4</v>
      </c>
      <c r="E598" s="2" t="s">
        <v>30</v>
      </c>
      <c r="F598" s="20" t="str">
        <f>F597</f>
        <v>CSYNC MULTIPLES</v>
      </c>
      <c r="G598" s="2"/>
    </row>
    <row r="599" spans="1:7">
      <c r="A599" s="22">
        <f t="shared" si="263"/>
        <v>591</v>
      </c>
      <c r="B599" s="10">
        <f t="shared" si="229"/>
        <v>897</v>
      </c>
      <c r="C599" s="24" t="str">
        <f t="shared" si="262"/>
        <v>0381</v>
      </c>
      <c r="D599" s="2" t="s">
        <v>340</v>
      </c>
      <c r="E599" s="19" t="s">
        <v>29</v>
      </c>
      <c r="F599" s="20" t="s">
        <v>346</v>
      </c>
      <c r="G599" s="2"/>
    </row>
    <row r="600" spans="1:7">
      <c r="A600" s="22">
        <f t="shared" si="263"/>
        <v>592</v>
      </c>
      <c r="B600" s="10">
        <f t="shared" si="229"/>
        <v>898</v>
      </c>
      <c r="C600" s="24" t="str">
        <f t="shared" si="262"/>
        <v>0382</v>
      </c>
      <c r="D600" s="2" t="str">
        <f>D599</f>
        <v>D6</v>
      </c>
      <c r="E600" s="2" t="s">
        <v>30</v>
      </c>
      <c r="F600" s="20" t="str">
        <f>F599</f>
        <v>HARDWARE SCROLL 1 PIXEL MODE 1/0 (NO BUFFERING)</v>
      </c>
      <c r="G600" s="2"/>
    </row>
    <row r="601" spans="1:7">
      <c r="A601" s="22">
        <f t="shared" si="263"/>
        <v>593</v>
      </c>
      <c r="B601" s="10">
        <f t="shared" si="229"/>
        <v>899</v>
      </c>
      <c r="C601" s="24" t="str">
        <f t="shared" si="262"/>
        <v>0383</v>
      </c>
      <c r="D601" s="2" t="s">
        <v>342</v>
      </c>
      <c r="E601" s="2" t="s">
        <v>29</v>
      </c>
      <c r="F601" s="20" t="s">
        <v>347</v>
      </c>
      <c r="G601" s="2"/>
    </row>
    <row r="602" spans="1:7">
      <c r="A602" s="22">
        <f t="shared" si="263"/>
        <v>594</v>
      </c>
      <c r="B602" s="10">
        <f t="shared" si="229"/>
        <v>900</v>
      </c>
      <c r="C602" s="24" t="str">
        <f t="shared" si="262"/>
        <v>0384</v>
      </c>
      <c r="D602" s="2" t="str">
        <f>D601</f>
        <v>D7</v>
      </c>
      <c r="E602" s="2" t="s">
        <v>30</v>
      </c>
      <c r="F602" s="20" t="str">
        <f>F601</f>
        <v>R2 OSCILLATION STORY</v>
      </c>
      <c r="G602" s="2"/>
    </row>
    <row r="603" spans="1:7">
      <c r="A603" s="22">
        <f t="shared" si="263"/>
        <v>595</v>
      </c>
      <c r="B603" s="10">
        <f>B602+1</f>
        <v>901</v>
      </c>
      <c r="C603" s="24" t="str">
        <f t="shared" si="262"/>
        <v>0385</v>
      </c>
      <c r="D603" s="2" t="str">
        <f t="shared" ref="D603:D610" si="264">D602</f>
        <v>D7</v>
      </c>
      <c r="E603" s="2" t="s">
        <v>31</v>
      </c>
      <c r="F603" s="20" t="str">
        <f t="shared" ref="F603:F610" si="265">F602</f>
        <v>R2 OSCILLATION STORY</v>
      </c>
      <c r="G603" s="2"/>
    </row>
    <row r="604" spans="1:7">
      <c r="A604" s="22">
        <f t="shared" si="263"/>
        <v>596</v>
      </c>
      <c r="B604" s="10">
        <f>B603+1</f>
        <v>902</v>
      </c>
      <c r="C604" s="24" t="str">
        <f t="shared" si="262"/>
        <v>0386</v>
      </c>
      <c r="D604" s="2" t="str">
        <f t="shared" si="264"/>
        <v>D7</v>
      </c>
      <c r="E604" s="2" t="s">
        <v>32</v>
      </c>
      <c r="F604" s="20" t="str">
        <f t="shared" si="265"/>
        <v>R2 OSCILLATION STORY</v>
      </c>
      <c r="G604" s="2"/>
    </row>
    <row r="605" spans="1:7">
      <c r="A605" s="22">
        <f t="shared" si="263"/>
        <v>597</v>
      </c>
      <c r="B605" s="10">
        <f t="shared" ref="B605:B635" si="266">B604+1</f>
        <v>903</v>
      </c>
      <c r="C605" s="24" t="str">
        <f t="shared" si="262"/>
        <v>0387</v>
      </c>
      <c r="D605" s="2" t="str">
        <f t="shared" si="264"/>
        <v>D7</v>
      </c>
      <c r="E605" s="2" t="s">
        <v>33</v>
      </c>
      <c r="F605" s="20" t="str">
        <f t="shared" si="265"/>
        <v>R2 OSCILLATION STORY</v>
      </c>
      <c r="G605" s="2"/>
    </row>
    <row r="606" spans="1:7">
      <c r="A606" s="22">
        <f t="shared" si="263"/>
        <v>598</v>
      </c>
      <c r="B606" s="10">
        <f t="shared" si="266"/>
        <v>904</v>
      </c>
      <c r="C606" s="24" t="str">
        <f t="shared" si="262"/>
        <v>0388</v>
      </c>
      <c r="D606" s="2" t="str">
        <f t="shared" si="264"/>
        <v>D7</v>
      </c>
      <c r="E606" s="2" t="s">
        <v>106</v>
      </c>
      <c r="F606" s="20" t="str">
        <f t="shared" si="265"/>
        <v>R2 OSCILLATION STORY</v>
      </c>
      <c r="G606" s="2"/>
    </row>
    <row r="607" spans="1:7">
      <c r="A607" s="22">
        <f t="shared" si="263"/>
        <v>599</v>
      </c>
      <c r="B607" s="10">
        <f t="shared" si="266"/>
        <v>905</v>
      </c>
      <c r="C607" s="24" t="str">
        <f t="shared" si="262"/>
        <v>0389</v>
      </c>
      <c r="D607" s="2" t="str">
        <f t="shared" si="264"/>
        <v>D7</v>
      </c>
      <c r="E607" s="2" t="s">
        <v>107</v>
      </c>
      <c r="F607" s="20" t="str">
        <f t="shared" si="265"/>
        <v>R2 OSCILLATION STORY</v>
      </c>
      <c r="G607" s="2"/>
    </row>
    <row r="608" spans="1:7">
      <c r="A608" s="22">
        <f t="shared" si="263"/>
        <v>600</v>
      </c>
      <c r="B608" s="10">
        <f t="shared" si="266"/>
        <v>906</v>
      </c>
      <c r="C608" s="24" t="str">
        <f t="shared" si="262"/>
        <v>038A</v>
      </c>
      <c r="D608" s="2" t="str">
        <f t="shared" si="264"/>
        <v>D7</v>
      </c>
      <c r="E608" s="2" t="s">
        <v>108</v>
      </c>
      <c r="F608" s="20" t="str">
        <f t="shared" si="265"/>
        <v>R2 OSCILLATION STORY</v>
      </c>
      <c r="G608" s="2"/>
    </row>
    <row r="609" spans="1:9">
      <c r="A609" s="22">
        <f t="shared" si="263"/>
        <v>601</v>
      </c>
      <c r="B609" s="10">
        <f t="shared" si="266"/>
        <v>907</v>
      </c>
      <c r="C609" s="24" t="str">
        <f t="shared" si="262"/>
        <v>038B</v>
      </c>
      <c r="D609" s="2" t="str">
        <f t="shared" si="264"/>
        <v>D7</v>
      </c>
      <c r="E609" s="2" t="s">
        <v>109</v>
      </c>
      <c r="F609" s="20" t="str">
        <f t="shared" si="265"/>
        <v>R2 OSCILLATION STORY</v>
      </c>
      <c r="G609" s="2"/>
    </row>
    <row r="610" spans="1:9">
      <c r="A610" s="22">
        <f t="shared" si="263"/>
        <v>602</v>
      </c>
      <c r="B610" s="10">
        <f t="shared" si="266"/>
        <v>908</v>
      </c>
      <c r="C610" s="24" t="str">
        <f t="shared" si="262"/>
        <v>038C</v>
      </c>
      <c r="D610" s="2" t="str">
        <f t="shared" si="264"/>
        <v>D7</v>
      </c>
      <c r="E610" s="2" t="s">
        <v>111</v>
      </c>
      <c r="F610" s="20" t="str">
        <f t="shared" si="265"/>
        <v>R2 OSCILLATION STORY</v>
      </c>
      <c r="G610" s="2"/>
    </row>
    <row r="611" spans="1:9">
      <c r="A611" s="22">
        <f t="shared" si="263"/>
        <v>603</v>
      </c>
      <c r="B611" s="10">
        <f t="shared" si="266"/>
        <v>909</v>
      </c>
      <c r="C611" s="24" t="str">
        <f t="shared" si="262"/>
        <v>038D</v>
      </c>
      <c r="D611" s="2" t="s">
        <v>341</v>
      </c>
      <c r="E611" s="19" t="s">
        <v>29</v>
      </c>
      <c r="F611" s="20" t="s">
        <v>348</v>
      </c>
      <c r="G611" s="2"/>
    </row>
    <row r="612" spans="1:9">
      <c r="A612" s="22">
        <f t="shared" si="263"/>
        <v>604</v>
      </c>
      <c r="B612" s="10">
        <f t="shared" si="266"/>
        <v>910</v>
      </c>
      <c r="C612" s="24" t="str">
        <f t="shared" si="262"/>
        <v>038E</v>
      </c>
      <c r="D612" s="2" t="str">
        <f>D611</f>
        <v>D8</v>
      </c>
      <c r="E612" s="2" t="s">
        <v>30</v>
      </c>
      <c r="F612" s="20" t="str">
        <f>F611</f>
        <v>NO HSYNC FOR XX LINES</v>
      </c>
      <c r="G612" s="2"/>
    </row>
    <row r="613" spans="1:9">
      <c r="A613" s="22">
        <f t="shared" si="263"/>
        <v>605</v>
      </c>
      <c r="B613" s="10">
        <f t="shared" si="266"/>
        <v>911</v>
      </c>
      <c r="C613" s="24" t="str">
        <f t="shared" si="262"/>
        <v>038F</v>
      </c>
      <c r="D613" s="2" t="str">
        <f>D612</f>
        <v>D8</v>
      </c>
      <c r="E613" s="2" t="s">
        <v>31</v>
      </c>
      <c r="F613" s="20" t="str">
        <f t="shared" ref="F613:F616" si="267">F612</f>
        <v>NO HSYNC FOR XX LINES</v>
      </c>
      <c r="G613" s="2"/>
    </row>
    <row r="614" spans="1:9">
      <c r="A614" s="22">
        <f t="shared" si="263"/>
        <v>606</v>
      </c>
      <c r="B614" s="10">
        <f t="shared" si="266"/>
        <v>912</v>
      </c>
      <c r="C614" s="24" t="str">
        <f t="shared" si="262"/>
        <v>0390</v>
      </c>
      <c r="D614" s="2" t="str">
        <f>D613</f>
        <v>D8</v>
      </c>
      <c r="E614" s="2" t="s">
        <v>32</v>
      </c>
      <c r="F614" s="20" t="str">
        <f t="shared" si="267"/>
        <v>NO HSYNC FOR XX LINES</v>
      </c>
      <c r="G614" s="2"/>
    </row>
    <row r="615" spans="1:9">
      <c r="A615" s="22">
        <f t="shared" si="263"/>
        <v>607</v>
      </c>
      <c r="B615" s="10">
        <f t="shared" si="266"/>
        <v>913</v>
      </c>
      <c r="C615" s="24" t="str">
        <f t="shared" si="262"/>
        <v>0391</v>
      </c>
      <c r="D615" s="2" t="str">
        <f>D614</f>
        <v>D8</v>
      </c>
      <c r="E615" s="2" t="s">
        <v>33</v>
      </c>
      <c r="F615" s="20" t="str">
        <f t="shared" si="267"/>
        <v>NO HSYNC FOR XX LINES</v>
      </c>
      <c r="G615" s="2"/>
    </row>
    <row r="616" spans="1:9">
      <c r="A616" s="22">
        <f t="shared" si="263"/>
        <v>608</v>
      </c>
      <c r="B616" s="10">
        <f t="shared" si="266"/>
        <v>914</v>
      </c>
      <c r="C616" s="24" t="str">
        <f t="shared" si="262"/>
        <v>0392</v>
      </c>
      <c r="D616" s="2" t="str">
        <f>D615</f>
        <v>D8</v>
      </c>
      <c r="E616" s="19" t="s">
        <v>106</v>
      </c>
      <c r="F616" s="20" t="str">
        <f t="shared" si="267"/>
        <v>NO HSYNC FOR XX LINES</v>
      </c>
      <c r="G616" s="2"/>
    </row>
    <row r="617" spans="1:9">
      <c r="A617" s="22">
        <f t="shared" si="263"/>
        <v>609</v>
      </c>
      <c r="B617" s="10">
        <f t="shared" si="266"/>
        <v>915</v>
      </c>
      <c r="C617" s="24" t="str">
        <f t="shared" si="262"/>
        <v>0393</v>
      </c>
      <c r="D617" s="2" t="s">
        <v>343</v>
      </c>
      <c r="E617" s="2" t="s">
        <v>29</v>
      </c>
      <c r="F617" s="20" t="s">
        <v>349</v>
      </c>
      <c r="G617" s="2" t="s">
        <v>359</v>
      </c>
    </row>
    <row r="618" spans="1:9">
      <c r="A618" s="22">
        <f t="shared" si="263"/>
        <v>610</v>
      </c>
      <c r="B618" s="10">
        <f t="shared" si="266"/>
        <v>916</v>
      </c>
      <c r="C618" s="24" t="str">
        <f t="shared" si="262"/>
        <v>0394</v>
      </c>
      <c r="D618" s="2" t="str">
        <f>D617</f>
        <v>D9</v>
      </c>
      <c r="E618" s="2" t="s">
        <v>30</v>
      </c>
      <c r="F618" s="20" t="str">
        <f>F617</f>
        <v>CRTC 1 : RFD ROUND 2</v>
      </c>
      <c r="G618" s="2" t="s">
        <v>359</v>
      </c>
    </row>
    <row r="619" spans="1:9">
      <c r="A619" s="22">
        <f t="shared" si="263"/>
        <v>611</v>
      </c>
      <c r="B619" s="10">
        <f t="shared" si="266"/>
        <v>917</v>
      </c>
      <c r="C619" s="24" t="str">
        <f t="shared" si="262"/>
        <v>0395</v>
      </c>
      <c r="D619" s="2" t="str">
        <f t="shared" ref="D619:D625" si="268">D618</f>
        <v>D9</v>
      </c>
      <c r="E619" s="2" t="s">
        <v>31</v>
      </c>
      <c r="F619" s="20" t="str">
        <f t="shared" ref="F619:F630" si="269">F618</f>
        <v>CRTC 1 : RFD ROUND 2</v>
      </c>
      <c r="G619" s="2" t="s">
        <v>359</v>
      </c>
    </row>
    <row r="620" spans="1:9">
      <c r="A620" s="22">
        <f t="shared" si="263"/>
        <v>612</v>
      </c>
      <c r="B620" s="10">
        <f t="shared" si="266"/>
        <v>918</v>
      </c>
      <c r="C620" s="24" t="str">
        <f t="shared" si="262"/>
        <v>0396</v>
      </c>
      <c r="D620" s="2" t="str">
        <f t="shared" si="268"/>
        <v>D9</v>
      </c>
      <c r="E620" s="2" t="s">
        <v>32</v>
      </c>
      <c r="F620" s="20" t="str">
        <f t="shared" si="269"/>
        <v>CRTC 1 : RFD ROUND 2</v>
      </c>
      <c r="G620" s="2" t="s">
        <v>359</v>
      </c>
    </row>
    <row r="621" spans="1:9">
      <c r="A621" s="22">
        <f t="shared" si="263"/>
        <v>613</v>
      </c>
      <c r="B621" s="10">
        <f t="shared" si="266"/>
        <v>919</v>
      </c>
      <c r="C621" s="24" t="str">
        <f t="shared" si="262"/>
        <v>0397</v>
      </c>
      <c r="D621" s="2" t="str">
        <f t="shared" si="268"/>
        <v>D9</v>
      </c>
      <c r="E621" s="2" t="s">
        <v>33</v>
      </c>
      <c r="F621" s="20" t="str">
        <f t="shared" si="269"/>
        <v>CRTC 1 : RFD ROUND 2</v>
      </c>
      <c r="G621" s="2" t="s">
        <v>359</v>
      </c>
    </row>
    <row r="622" spans="1:9">
      <c r="A622" s="22">
        <f t="shared" si="263"/>
        <v>614</v>
      </c>
      <c r="B622" s="10">
        <f t="shared" si="266"/>
        <v>920</v>
      </c>
      <c r="C622" s="24" t="str">
        <f t="shared" si="262"/>
        <v>0398</v>
      </c>
      <c r="D622" s="2" t="str">
        <f t="shared" si="268"/>
        <v>D9</v>
      </c>
      <c r="E622" s="2" t="s">
        <v>106</v>
      </c>
      <c r="F622" s="20" t="str">
        <f t="shared" si="269"/>
        <v>CRTC 1 : RFD ROUND 2</v>
      </c>
      <c r="G622" s="2" t="s">
        <v>87</v>
      </c>
      <c r="H622" s="28" t="s">
        <v>360</v>
      </c>
      <c r="I622" s="28" t="s">
        <v>366</v>
      </c>
    </row>
    <row r="623" spans="1:9">
      <c r="A623" s="22">
        <f t="shared" si="263"/>
        <v>615</v>
      </c>
      <c r="B623" s="10">
        <f t="shared" si="266"/>
        <v>921</v>
      </c>
      <c r="C623" s="24" t="str">
        <f t="shared" si="262"/>
        <v>0399</v>
      </c>
      <c r="D623" s="2" t="str">
        <f t="shared" si="268"/>
        <v>D9</v>
      </c>
      <c r="E623" s="2" t="s">
        <v>107</v>
      </c>
      <c r="F623" s="20" t="str">
        <f t="shared" si="269"/>
        <v>CRTC 1 : RFD ROUND 2</v>
      </c>
      <c r="G623" s="2" t="s">
        <v>89</v>
      </c>
      <c r="H623" s="28" t="s">
        <v>360</v>
      </c>
    </row>
    <row r="624" spans="1:9">
      <c r="A624" s="22">
        <f t="shared" si="263"/>
        <v>616</v>
      </c>
      <c r="B624" s="10">
        <f t="shared" si="266"/>
        <v>922</v>
      </c>
      <c r="C624" s="24" t="str">
        <f t="shared" si="262"/>
        <v>039A</v>
      </c>
      <c r="D624" s="2" t="str">
        <f t="shared" si="268"/>
        <v>D9</v>
      </c>
      <c r="E624" s="2" t="s">
        <v>108</v>
      </c>
      <c r="F624" s="20" t="str">
        <f t="shared" si="269"/>
        <v>CRTC 1 : RFD ROUND 2</v>
      </c>
      <c r="G624" s="2" t="s">
        <v>90</v>
      </c>
      <c r="H624" s="28" t="s">
        <v>360</v>
      </c>
    </row>
    <row r="625" spans="1:8">
      <c r="A625" s="22">
        <f t="shared" si="263"/>
        <v>617</v>
      </c>
      <c r="B625" s="10">
        <f t="shared" si="266"/>
        <v>923</v>
      </c>
      <c r="C625" s="24" t="str">
        <f t="shared" si="262"/>
        <v>039B</v>
      </c>
      <c r="D625" s="2" t="str">
        <f t="shared" si="268"/>
        <v>D9</v>
      </c>
      <c r="E625" s="2" t="s">
        <v>109</v>
      </c>
      <c r="F625" s="20" t="str">
        <f t="shared" si="269"/>
        <v>CRTC 1 : RFD ROUND 2</v>
      </c>
      <c r="G625" s="2"/>
      <c r="H625" s="29" t="s">
        <v>361</v>
      </c>
    </row>
    <row r="626" spans="1:8">
      <c r="A626" s="22">
        <f t="shared" si="263"/>
        <v>618</v>
      </c>
      <c r="B626" s="10">
        <f t="shared" si="266"/>
        <v>924</v>
      </c>
      <c r="C626" s="24" t="str">
        <f t="shared" si="262"/>
        <v>039C</v>
      </c>
      <c r="D626" s="24" t="s">
        <v>13</v>
      </c>
      <c r="E626" s="24" t="s">
        <v>284</v>
      </c>
      <c r="F626" s="24" t="str">
        <f>F113</f>
        <v>MODE UPD &gt; HSYNC DELAY</v>
      </c>
      <c r="G626" s="2"/>
    </row>
    <row r="627" spans="1:8">
      <c r="A627" s="22">
        <f t="shared" si="263"/>
        <v>619</v>
      </c>
      <c r="B627" s="10">
        <f t="shared" si="266"/>
        <v>925</v>
      </c>
      <c r="C627" s="24" t="str">
        <f t="shared" si="262"/>
        <v>039D</v>
      </c>
      <c r="D627" s="24" t="str">
        <f>D626</f>
        <v>AP</v>
      </c>
      <c r="E627" s="24" t="s">
        <v>285</v>
      </c>
      <c r="F627" s="24" t="str">
        <f t="shared" si="269"/>
        <v>MODE UPD &gt; HSYNC DELAY</v>
      </c>
      <c r="G627" s="2"/>
    </row>
    <row r="628" spans="1:8">
      <c r="A628" s="22">
        <f t="shared" si="263"/>
        <v>620</v>
      </c>
      <c r="B628" s="10">
        <f t="shared" si="266"/>
        <v>926</v>
      </c>
      <c r="C628" s="24" t="str">
        <f t="shared" si="262"/>
        <v>039E</v>
      </c>
      <c r="D628" s="24" t="str">
        <f t="shared" ref="D628:D630" si="270">D627</f>
        <v>AP</v>
      </c>
      <c r="E628" s="24" t="s">
        <v>286</v>
      </c>
      <c r="F628" s="24" t="str">
        <f t="shared" si="269"/>
        <v>MODE UPD &gt; HSYNC DELAY</v>
      </c>
      <c r="G628" s="2"/>
    </row>
    <row r="629" spans="1:8">
      <c r="A629" s="22">
        <f t="shared" si="263"/>
        <v>621</v>
      </c>
      <c r="B629" s="10">
        <f t="shared" si="266"/>
        <v>927</v>
      </c>
      <c r="C629" s="24" t="str">
        <f t="shared" si="262"/>
        <v>039F</v>
      </c>
      <c r="D629" s="24" t="str">
        <f t="shared" si="270"/>
        <v>AP</v>
      </c>
      <c r="E629" s="24" t="s">
        <v>287</v>
      </c>
      <c r="F629" s="24" t="str">
        <f t="shared" si="269"/>
        <v>MODE UPD &gt; HSYNC DELAY</v>
      </c>
      <c r="G629" s="2"/>
    </row>
    <row r="630" spans="1:8">
      <c r="A630" s="22">
        <f t="shared" si="263"/>
        <v>622</v>
      </c>
      <c r="B630" s="10">
        <f>B629+5</f>
        <v>932</v>
      </c>
      <c r="C630" s="24" t="str">
        <f t="shared" si="262"/>
        <v>03A4</v>
      </c>
      <c r="D630" s="24" t="str">
        <f t="shared" si="270"/>
        <v>AP</v>
      </c>
      <c r="E630" s="24" t="s">
        <v>288</v>
      </c>
      <c r="F630" s="24" t="str">
        <f t="shared" si="269"/>
        <v>MODE UPD &gt; HSYNC DELAY</v>
      </c>
      <c r="G630" s="2"/>
    </row>
    <row r="631" spans="1:8">
      <c r="A631" s="22">
        <f t="shared" si="263"/>
        <v>623</v>
      </c>
      <c r="B631" s="10">
        <f t="shared" si="266"/>
        <v>933</v>
      </c>
      <c r="C631" s="24" t="str">
        <f t="shared" si="262"/>
        <v>03A5</v>
      </c>
      <c r="D631" s="24" t="s">
        <v>2</v>
      </c>
      <c r="E631" s="24" t="s">
        <v>1</v>
      </c>
      <c r="F631" s="24" t="s">
        <v>41</v>
      </c>
      <c r="G631" s="2"/>
    </row>
    <row r="632" spans="1:8">
      <c r="A632" s="22">
        <f t="shared" si="263"/>
        <v>624</v>
      </c>
      <c r="B632" s="10">
        <f t="shared" si="266"/>
        <v>934</v>
      </c>
      <c r="C632" s="24" t="str">
        <f t="shared" si="262"/>
        <v>03A6</v>
      </c>
      <c r="D632" s="24" t="s">
        <v>2</v>
      </c>
      <c r="E632" s="24" t="s">
        <v>2</v>
      </c>
      <c r="F632" s="24" t="s">
        <v>41</v>
      </c>
      <c r="G632" s="2"/>
    </row>
    <row r="633" spans="1:8">
      <c r="A633" s="22">
        <f t="shared" si="263"/>
        <v>625</v>
      </c>
      <c r="B633" s="10">
        <f t="shared" si="266"/>
        <v>935</v>
      </c>
      <c r="C633" s="24" t="str">
        <f t="shared" si="262"/>
        <v>03A7</v>
      </c>
      <c r="D633" s="24" t="s">
        <v>2</v>
      </c>
      <c r="E633" s="24" t="s">
        <v>30</v>
      </c>
      <c r="F633" s="24" t="s">
        <v>41</v>
      </c>
      <c r="G633" s="2"/>
    </row>
    <row r="634" spans="1:8">
      <c r="A634" s="22">
        <f t="shared" si="263"/>
        <v>626</v>
      </c>
      <c r="B634" s="10">
        <f>B633+5</f>
        <v>940</v>
      </c>
      <c r="C634" s="24" t="str">
        <f t="shared" si="262"/>
        <v>03AC</v>
      </c>
      <c r="D634" s="24" t="s">
        <v>17</v>
      </c>
      <c r="E634" s="24" t="s">
        <v>108</v>
      </c>
      <c r="F634" s="24" t="s">
        <v>116</v>
      </c>
      <c r="G634" s="2"/>
    </row>
    <row r="635" spans="1:8">
      <c r="A635" s="22">
        <f t="shared" si="263"/>
        <v>627</v>
      </c>
      <c r="B635" s="10">
        <f t="shared" si="266"/>
        <v>941</v>
      </c>
      <c r="C635" s="24" t="str">
        <f t="shared" si="262"/>
        <v>03AD</v>
      </c>
      <c r="D635" s="24" t="s">
        <v>314</v>
      </c>
      <c r="E635" s="2" t="s">
        <v>29</v>
      </c>
      <c r="F635" s="20" t="s">
        <v>413</v>
      </c>
      <c r="G635" s="2"/>
    </row>
    <row r="636" spans="1:8">
      <c r="A636" s="22">
        <f t="shared" si="263"/>
        <v>628</v>
      </c>
      <c r="B636" s="10">
        <f>B635+1</f>
        <v>942</v>
      </c>
      <c r="C636" s="2" t="str">
        <f t="shared" ref="C636" si="271">DEC2HEX(B636,4)</f>
        <v>03AE</v>
      </c>
      <c r="D636" s="2" t="s">
        <v>428</v>
      </c>
      <c r="E636" s="2" t="s">
        <v>29</v>
      </c>
      <c r="F636" s="20" t="s">
        <v>429</v>
      </c>
      <c r="G636" s="2"/>
    </row>
    <row r="637" spans="1:8">
      <c r="A637" s="22">
        <f t="shared" si="263"/>
        <v>629</v>
      </c>
      <c r="B637" s="10">
        <f>B636+1</f>
        <v>943</v>
      </c>
      <c r="C637" s="2" t="str">
        <f t="shared" ref="C637:C668" si="272">DEC2HEX(B637,4)</f>
        <v>03AF</v>
      </c>
      <c r="D637" s="2" t="s">
        <v>428</v>
      </c>
      <c r="E637" s="2" t="s">
        <v>30</v>
      </c>
      <c r="F637" s="20" t="s">
        <v>429</v>
      </c>
      <c r="G637" s="2"/>
    </row>
    <row r="638" spans="1:8">
      <c r="A638" s="22">
        <f t="shared" si="263"/>
        <v>630</v>
      </c>
      <c r="B638" s="10">
        <f>B637+5</f>
        <v>948</v>
      </c>
      <c r="C638" s="2" t="str">
        <f t="shared" si="272"/>
        <v>03B4</v>
      </c>
      <c r="D638" s="2" t="s">
        <v>428</v>
      </c>
      <c r="E638" s="2" t="s">
        <v>31</v>
      </c>
      <c r="F638" s="20" t="s">
        <v>429</v>
      </c>
      <c r="G638" s="2"/>
    </row>
    <row r="639" spans="1:8">
      <c r="A639" s="22">
        <f t="shared" si="263"/>
        <v>631</v>
      </c>
      <c r="B639" s="10">
        <f t="shared" ref="B639" si="273">B638+1</f>
        <v>949</v>
      </c>
      <c r="C639" s="2" t="str">
        <f t="shared" si="272"/>
        <v>03B5</v>
      </c>
      <c r="D639" s="2" t="s">
        <v>428</v>
      </c>
      <c r="E639" s="2" t="s">
        <v>32</v>
      </c>
      <c r="F639" s="20" t="s">
        <v>429</v>
      </c>
      <c r="G639" s="2"/>
    </row>
    <row r="640" spans="1:8">
      <c r="A640" s="22">
        <f t="shared" si="263"/>
        <v>632</v>
      </c>
      <c r="B640" s="10">
        <f>B639+1</f>
        <v>950</v>
      </c>
      <c r="C640" s="2" t="str">
        <f t="shared" si="272"/>
        <v>03B6</v>
      </c>
      <c r="D640" s="2" t="s">
        <v>428</v>
      </c>
      <c r="E640" s="2" t="s">
        <v>33</v>
      </c>
      <c r="F640" s="20" t="s">
        <v>429</v>
      </c>
      <c r="G640" s="2"/>
    </row>
    <row r="641" spans="1:7">
      <c r="A641" s="22">
        <f t="shared" si="263"/>
        <v>633</v>
      </c>
      <c r="B641" s="10">
        <f>B640+1</f>
        <v>951</v>
      </c>
      <c r="C641" s="2" t="str">
        <f t="shared" si="272"/>
        <v>03B7</v>
      </c>
      <c r="D641" s="2" t="s">
        <v>428</v>
      </c>
      <c r="E641" s="2" t="s">
        <v>106</v>
      </c>
      <c r="F641" s="20" t="s">
        <v>429</v>
      </c>
      <c r="G641" s="2"/>
    </row>
    <row r="642" spans="1:7">
      <c r="A642" s="22">
        <f t="shared" si="263"/>
        <v>634</v>
      </c>
      <c r="B642" s="10">
        <f>B641+5</f>
        <v>956</v>
      </c>
      <c r="C642" s="24" t="str">
        <f t="shared" si="272"/>
        <v>03BC</v>
      </c>
      <c r="D642" s="2" t="s">
        <v>325</v>
      </c>
      <c r="E642" s="2" t="s">
        <v>29</v>
      </c>
      <c r="F642" s="20" t="s">
        <v>350</v>
      </c>
      <c r="G642" t="s">
        <v>354</v>
      </c>
    </row>
    <row r="643" spans="1:7">
      <c r="A643" s="22">
        <f t="shared" si="263"/>
        <v>635</v>
      </c>
      <c r="B643" s="10">
        <f t="shared" ref="B643" si="274">B642+1</f>
        <v>957</v>
      </c>
      <c r="C643" s="24" t="str">
        <f t="shared" si="272"/>
        <v>03BD</v>
      </c>
      <c r="D643" s="2" t="s">
        <v>325</v>
      </c>
      <c r="E643" s="2" t="s">
        <v>19</v>
      </c>
      <c r="F643" s="20" t="str">
        <f>F642</f>
        <v>CRTC 3/4 STATUS</v>
      </c>
      <c r="G643" s="2"/>
    </row>
    <row r="644" spans="1:7">
      <c r="A644" s="22">
        <f t="shared" si="263"/>
        <v>636</v>
      </c>
      <c r="B644" s="10">
        <f t="shared" ref="B644:B652" si="275">B643+1</f>
        <v>958</v>
      </c>
      <c r="C644" s="24" t="str">
        <f t="shared" si="272"/>
        <v>03BE</v>
      </c>
      <c r="D644" s="2" t="s">
        <v>325</v>
      </c>
      <c r="E644" s="2" t="s">
        <v>20</v>
      </c>
      <c r="F644" s="20" t="str">
        <f t="shared" ref="F644:F694" si="276">F643</f>
        <v>CRTC 3/4 STATUS</v>
      </c>
      <c r="G644" s="2"/>
    </row>
    <row r="645" spans="1:7">
      <c r="A645" s="22">
        <f t="shared" si="263"/>
        <v>637</v>
      </c>
      <c r="B645" s="10">
        <f t="shared" si="275"/>
        <v>959</v>
      </c>
      <c r="C645" s="24" t="str">
        <f t="shared" si="272"/>
        <v>03BF</v>
      </c>
      <c r="D645" s="2" t="s">
        <v>325</v>
      </c>
      <c r="E645" s="2" t="s">
        <v>31</v>
      </c>
      <c r="F645" s="20" t="str">
        <f t="shared" si="276"/>
        <v>CRTC 3/4 STATUS</v>
      </c>
      <c r="G645" s="2"/>
    </row>
    <row r="646" spans="1:7">
      <c r="A646" s="22">
        <f t="shared" si="263"/>
        <v>638</v>
      </c>
      <c r="B646" s="10">
        <f t="shared" si="275"/>
        <v>960</v>
      </c>
      <c r="C646" s="24" t="str">
        <f t="shared" si="272"/>
        <v>03C0</v>
      </c>
      <c r="D646" s="2" t="s">
        <v>325</v>
      </c>
      <c r="E646" s="2" t="s">
        <v>32</v>
      </c>
      <c r="F646" s="20" t="str">
        <f t="shared" si="276"/>
        <v>CRTC 3/4 STATUS</v>
      </c>
      <c r="G646" s="2"/>
    </row>
    <row r="647" spans="1:7">
      <c r="A647" s="22">
        <f t="shared" si="263"/>
        <v>639</v>
      </c>
      <c r="B647" s="10">
        <f t="shared" si="275"/>
        <v>961</v>
      </c>
      <c r="C647" s="24" t="str">
        <f t="shared" si="272"/>
        <v>03C1</v>
      </c>
      <c r="D647" s="2" t="s">
        <v>325</v>
      </c>
      <c r="E647" s="2" t="s">
        <v>33</v>
      </c>
      <c r="F647" s="20" t="str">
        <f t="shared" si="276"/>
        <v>CRTC 3/4 STATUS</v>
      </c>
      <c r="G647" s="2"/>
    </row>
    <row r="648" spans="1:7">
      <c r="A648" s="22">
        <f t="shared" si="263"/>
        <v>640</v>
      </c>
      <c r="B648" s="10">
        <f t="shared" si="275"/>
        <v>962</v>
      </c>
      <c r="C648" s="24" t="str">
        <f t="shared" si="272"/>
        <v>03C2</v>
      </c>
      <c r="D648" s="2" t="s">
        <v>325</v>
      </c>
      <c r="E648" s="2" t="s">
        <v>106</v>
      </c>
      <c r="F648" s="20" t="str">
        <f t="shared" si="276"/>
        <v>CRTC 3/4 STATUS</v>
      </c>
      <c r="G648" s="2"/>
    </row>
    <row r="649" spans="1:7">
      <c r="A649" s="22">
        <f t="shared" si="263"/>
        <v>641</v>
      </c>
      <c r="B649" s="10">
        <f t="shared" si="275"/>
        <v>963</v>
      </c>
      <c r="C649" s="24" t="str">
        <f t="shared" si="272"/>
        <v>03C3</v>
      </c>
      <c r="D649" s="2" t="s">
        <v>325</v>
      </c>
      <c r="E649" s="2" t="s">
        <v>51</v>
      </c>
      <c r="F649" s="20" t="str">
        <f t="shared" si="276"/>
        <v>CRTC 3/4 STATUS</v>
      </c>
      <c r="G649" s="2"/>
    </row>
    <row r="650" spans="1:7">
      <c r="A650" s="22">
        <f t="shared" ref="A650:A682" si="277">A649+1</f>
        <v>642</v>
      </c>
      <c r="B650" s="10">
        <f t="shared" si="275"/>
        <v>964</v>
      </c>
      <c r="C650" s="24" t="str">
        <f t="shared" si="272"/>
        <v>03C4</v>
      </c>
      <c r="D650" s="2" t="s">
        <v>325</v>
      </c>
      <c r="E650" s="2" t="s">
        <v>52</v>
      </c>
      <c r="F650" s="20" t="str">
        <f t="shared" si="276"/>
        <v>CRTC 3/4 STATUS</v>
      </c>
      <c r="G650" s="2"/>
    </row>
    <row r="651" spans="1:7">
      <c r="A651" s="22">
        <f t="shared" si="277"/>
        <v>643</v>
      </c>
      <c r="B651" s="10">
        <f t="shared" si="275"/>
        <v>965</v>
      </c>
      <c r="C651" s="24" t="str">
        <f t="shared" si="272"/>
        <v>03C5</v>
      </c>
      <c r="D651" s="2" t="s">
        <v>325</v>
      </c>
      <c r="E651" s="2" t="s">
        <v>367</v>
      </c>
      <c r="F651" s="20" t="str">
        <f t="shared" si="276"/>
        <v>CRTC 3/4 STATUS</v>
      </c>
      <c r="G651" s="2"/>
    </row>
    <row r="652" spans="1:7">
      <c r="A652" s="22">
        <f t="shared" si="277"/>
        <v>644</v>
      </c>
      <c r="B652" s="10">
        <f t="shared" si="275"/>
        <v>966</v>
      </c>
      <c r="C652" s="24" t="str">
        <f t="shared" si="272"/>
        <v>03C6</v>
      </c>
      <c r="D652" s="2" t="s">
        <v>325</v>
      </c>
      <c r="E652" s="2" t="s">
        <v>368</v>
      </c>
      <c r="F652" s="20" t="str">
        <f t="shared" si="276"/>
        <v>CRTC 3/4 STATUS</v>
      </c>
      <c r="G652" s="2"/>
    </row>
    <row r="653" spans="1:7">
      <c r="A653" s="22">
        <f t="shared" si="277"/>
        <v>645</v>
      </c>
      <c r="B653" s="10">
        <f t="shared" ref="B653:B715" si="278">B652+1</f>
        <v>967</v>
      </c>
      <c r="C653" s="24" t="str">
        <f t="shared" si="272"/>
        <v>03C7</v>
      </c>
      <c r="D653" s="2" t="s">
        <v>325</v>
      </c>
      <c r="E653" s="2" t="s">
        <v>369</v>
      </c>
      <c r="F653" s="20" t="str">
        <f t="shared" si="276"/>
        <v>CRTC 3/4 STATUS</v>
      </c>
      <c r="G653" s="2"/>
    </row>
    <row r="654" spans="1:7">
      <c r="A654" s="22">
        <f t="shared" si="277"/>
        <v>646</v>
      </c>
      <c r="B654" s="10">
        <f t="shared" si="278"/>
        <v>968</v>
      </c>
      <c r="C654" s="24" t="str">
        <f t="shared" si="272"/>
        <v>03C8</v>
      </c>
      <c r="D654" s="2" t="s">
        <v>325</v>
      </c>
      <c r="E654" s="2" t="s">
        <v>370</v>
      </c>
      <c r="F654" s="20" t="str">
        <f t="shared" si="276"/>
        <v>CRTC 3/4 STATUS</v>
      </c>
      <c r="G654" s="2"/>
    </row>
    <row r="655" spans="1:7">
      <c r="A655" s="22">
        <f t="shared" si="277"/>
        <v>647</v>
      </c>
      <c r="B655" s="10">
        <f t="shared" si="278"/>
        <v>969</v>
      </c>
      <c r="C655" s="24" t="str">
        <f t="shared" si="272"/>
        <v>03C9</v>
      </c>
      <c r="D655" s="2" t="s">
        <v>325</v>
      </c>
      <c r="E655" s="2" t="s">
        <v>371</v>
      </c>
      <c r="F655" s="20" t="str">
        <f t="shared" si="276"/>
        <v>CRTC 3/4 STATUS</v>
      </c>
      <c r="G655" s="2"/>
    </row>
    <row r="656" spans="1:7">
      <c r="A656" s="22">
        <f t="shared" si="277"/>
        <v>648</v>
      </c>
      <c r="B656" s="10">
        <f t="shared" si="278"/>
        <v>970</v>
      </c>
      <c r="C656" s="24" t="str">
        <f t="shared" si="272"/>
        <v>03CA</v>
      </c>
      <c r="D656" s="2" t="s">
        <v>325</v>
      </c>
      <c r="E656" s="2" t="s">
        <v>372</v>
      </c>
      <c r="F656" s="20" t="str">
        <f t="shared" si="276"/>
        <v>CRTC 3/4 STATUS</v>
      </c>
      <c r="G656" s="2"/>
    </row>
    <row r="657" spans="1:7">
      <c r="A657" s="22">
        <f t="shared" si="277"/>
        <v>649</v>
      </c>
      <c r="B657" s="10">
        <f t="shared" si="278"/>
        <v>971</v>
      </c>
      <c r="C657" s="24" t="str">
        <f t="shared" si="272"/>
        <v>03CB</v>
      </c>
      <c r="D657" s="2" t="s">
        <v>325</v>
      </c>
      <c r="E657" s="2" t="s">
        <v>373</v>
      </c>
      <c r="F657" s="20" t="str">
        <f t="shared" si="276"/>
        <v>CRTC 3/4 STATUS</v>
      </c>
      <c r="G657" s="2"/>
    </row>
    <row r="658" spans="1:7">
      <c r="A658" s="22">
        <f t="shared" si="277"/>
        <v>650</v>
      </c>
      <c r="B658" s="10">
        <f t="shared" si="278"/>
        <v>972</v>
      </c>
      <c r="C658" s="24" t="str">
        <f t="shared" si="272"/>
        <v>03CC</v>
      </c>
      <c r="D658" s="2" t="s">
        <v>325</v>
      </c>
      <c r="E658" s="2" t="s">
        <v>374</v>
      </c>
      <c r="F658" s="20" t="str">
        <f t="shared" si="276"/>
        <v>CRTC 3/4 STATUS</v>
      </c>
      <c r="G658" s="2"/>
    </row>
    <row r="659" spans="1:7">
      <c r="A659" s="22">
        <f t="shared" si="277"/>
        <v>651</v>
      </c>
      <c r="B659" s="10">
        <f t="shared" si="278"/>
        <v>973</v>
      </c>
      <c r="C659" s="24" t="str">
        <f t="shared" si="272"/>
        <v>03CD</v>
      </c>
      <c r="D659" s="2" t="s">
        <v>325</v>
      </c>
      <c r="E659" s="2" t="s">
        <v>375</v>
      </c>
      <c r="F659" s="20" t="str">
        <f t="shared" si="276"/>
        <v>CRTC 3/4 STATUS</v>
      </c>
      <c r="G659" s="2"/>
    </row>
    <row r="660" spans="1:7">
      <c r="A660" s="22">
        <f t="shared" si="277"/>
        <v>652</v>
      </c>
      <c r="B660" s="10">
        <f t="shared" si="278"/>
        <v>974</v>
      </c>
      <c r="C660" s="24" t="str">
        <f t="shared" si="272"/>
        <v>03CE</v>
      </c>
      <c r="D660" s="2" t="s">
        <v>325</v>
      </c>
      <c r="E660" s="2" t="s">
        <v>376</v>
      </c>
      <c r="F660" s="20" t="str">
        <f t="shared" si="276"/>
        <v>CRTC 3/4 STATUS</v>
      </c>
      <c r="G660" s="2"/>
    </row>
    <row r="661" spans="1:7">
      <c r="A661" s="22">
        <f t="shared" si="277"/>
        <v>653</v>
      </c>
      <c r="B661" s="10">
        <f t="shared" si="278"/>
        <v>975</v>
      </c>
      <c r="C661" s="24" t="str">
        <f t="shared" si="272"/>
        <v>03CF</v>
      </c>
      <c r="D661" s="2" t="s">
        <v>325</v>
      </c>
      <c r="E661" s="2" t="s">
        <v>377</v>
      </c>
      <c r="F661" s="20" t="str">
        <f t="shared" si="276"/>
        <v>CRTC 3/4 STATUS</v>
      </c>
      <c r="G661" s="2"/>
    </row>
    <row r="662" spans="1:7">
      <c r="A662" s="22">
        <f t="shared" si="277"/>
        <v>654</v>
      </c>
      <c r="B662" s="10">
        <f t="shared" si="278"/>
        <v>976</v>
      </c>
      <c r="C662" s="24" t="str">
        <f t="shared" si="272"/>
        <v>03D0</v>
      </c>
      <c r="D662" s="2" t="s">
        <v>325</v>
      </c>
      <c r="E662" s="2" t="s">
        <v>378</v>
      </c>
      <c r="F662" s="20" t="str">
        <f t="shared" si="276"/>
        <v>CRTC 3/4 STATUS</v>
      </c>
      <c r="G662" s="2"/>
    </row>
    <row r="663" spans="1:7">
      <c r="A663" s="22">
        <f t="shared" si="277"/>
        <v>655</v>
      </c>
      <c r="B663" s="10">
        <f t="shared" si="278"/>
        <v>977</v>
      </c>
      <c r="C663" s="24" t="str">
        <f t="shared" si="272"/>
        <v>03D1</v>
      </c>
      <c r="D663" s="2" t="s">
        <v>325</v>
      </c>
      <c r="E663" s="2" t="s">
        <v>379</v>
      </c>
      <c r="F663" s="20" t="str">
        <f t="shared" si="276"/>
        <v>CRTC 3/4 STATUS</v>
      </c>
      <c r="G663" s="2"/>
    </row>
    <row r="664" spans="1:7">
      <c r="A664" s="22">
        <f t="shared" si="277"/>
        <v>656</v>
      </c>
      <c r="B664" s="10">
        <f t="shared" si="278"/>
        <v>978</v>
      </c>
      <c r="C664" s="24" t="str">
        <f t="shared" si="272"/>
        <v>03D2</v>
      </c>
      <c r="D664" s="2" t="s">
        <v>325</v>
      </c>
      <c r="E664" s="2" t="s">
        <v>380</v>
      </c>
      <c r="F664" s="20" t="str">
        <f t="shared" si="276"/>
        <v>CRTC 3/4 STATUS</v>
      </c>
      <c r="G664" s="2"/>
    </row>
    <row r="665" spans="1:7">
      <c r="A665" s="22">
        <f t="shared" si="277"/>
        <v>657</v>
      </c>
      <c r="B665" s="10">
        <f t="shared" si="278"/>
        <v>979</v>
      </c>
      <c r="C665" s="24" t="str">
        <f t="shared" si="272"/>
        <v>03D3</v>
      </c>
      <c r="D665" s="2" t="s">
        <v>325</v>
      </c>
      <c r="E665" s="2" t="s">
        <v>381</v>
      </c>
      <c r="F665" s="20" t="str">
        <f t="shared" si="276"/>
        <v>CRTC 3/4 STATUS</v>
      </c>
      <c r="G665" s="2"/>
    </row>
    <row r="666" spans="1:7">
      <c r="A666" s="22">
        <f t="shared" si="277"/>
        <v>658</v>
      </c>
      <c r="B666" s="10">
        <f t="shared" si="278"/>
        <v>980</v>
      </c>
      <c r="C666" s="24" t="str">
        <f t="shared" si="272"/>
        <v>03D4</v>
      </c>
      <c r="D666" s="2" t="s">
        <v>325</v>
      </c>
      <c r="E666" s="2" t="s">
        <v>382</v>
      </c>
      <c r="F666" s="20" t="str">
        <f t="shared" si="276"/>
        <v>CRTC 3/4 STATUS</v>
      </c>
      <c r="G666" s="2"/>
    </row>
    <row r="667" spans="1:7">
      <c r="A667" s="22">
        <f t="shared" si="277"/>
        <v>659</v>
      </c>
      <c r="B667" s="10">
        <f t="shared" si="278"/>
        <v>981</v>
      </c>
      <c r="C667" s="24" t="str">
        <f t="shared" si="272"/>
        <v>03D5</v>
      </c>
      <c r="D667" s="2" t="s">
        <v>325</v>
      </c>
      <c r="E667" s="2" t="s">
        <v>383</v>
      </c>
      <c r="F667" s="20" t="str">
        <f t="shared" si="276"/>
        <v>CRTC 3/4 STATUS</v>
      </c>
      <c r="G667" s="2"/>
    </row>
    <row r="668" spans="1:7">
      <c r="A668" s="22">
        <f t="shared" si="277"/>
        <v>660</v>
      </c>
      <c r="B668" s="10">
        <f t="shared" si="278"/>
        <v>982</v>
      </c>
      <c r="C668" s="24" t="str">
        <f t="shared" si="272"/>
        <v>03D6</v>
      </c>
      <c r="D668" s="2" t="s">
        <v>325</v>
      </c>
      <c r="E668" s="2" t="s">
        <v>384</v>
      </c>
      <c r="F668" s="20" t="str">
        <f t="shared" si="276"/>
        <v>CRTC 3/4 STATUS</v>
      </c>
      <c r="G668" s="2"/>
    </row>
    <row r="669" spans="1:7">
      <c r="A669" s="22">
        <f t="shared" si="277"/>
        <v>661</v>
      </c>
      <c r="B669" s="10">
        <f t="shared" si="278"/>
        <v>983</v>
      </c>
      <c r="C669" s="24" t="str">
        <f t="shared" ref="C669:C715" si="279">DEC2HEX(B669,4)</f>
        <v>03D7</v>
      </c>
      <c r="D669" s="2" t="s">
        <v>325</v>
      </c>
      <c r="E669" s="2" t="s">
        <v>385</v>
      </c>
      <c r="F669" s="20" t="str">
        <f t="shared" si="276"/>
        <v>CRTC 3/4 STATUS</v>
      </c>
      <c r="G669" s="2"/>
    </row>
    <row r="670" spans="1:7">
      <c r="A670" s="22">
        <f t="shared" si="277"/>
        <v>662</v>
      </c>
      <c r="B670" s="10">
        <f t="shared" si="278"/>
        <v>984</v>
      </c>
      <c r="C670" s="24" t="str">
        <f t="shared" si="279"/>
        <v>03D8</v>
      </c>
      <c r="D670" s="2" t="s">
        <v>325</v>
      </c>
      <c r="E670" s="2" t="s">
        <v>386</v>
      </c>
      <c r="F670" s="20" t="str">
        <f t="shared" si="276"/>
        <v>CRTC 3/4 STATUS</v>
      </c>
      <c r="G670" s="2"/>
    </row>
    <row r="671" spans="1:7">
      <c r="A671" s="22">
        <f t="shared" si="277"/>
        <v>663</v>
      </c>
      <c r="B671" s="10">
        <f t="shared" si="278"/>
        <v>985</v>
      </c>
      <c r="C671" s="24" t="str">
        <f t="shared" si="279"/>
        <v>03D9</v>
      </c>
      <c r="D671" s="2" t="s">
        <v>325</v>
      </c>
      <c r="E671" s="2" t="s">
        <v>387</v>
      </c>
      <c r="F671" s="20" t="str">
        <f t="shared" si="276"/>
        <v>CRTC 3/4 STATUS</v>
      </c>
      <c r="G671" s="2"/>
    </row>
    <row r="672" spans="1:7">
      <c r="A672" s="22">
        <f t="shared" si="277"/>
        <v>664</v>
      </c>
      <c r="B672" s="10">
        <f t="shared" si="278"/>
        <v>986</v>
      </c>
      <c r="C672" s="24" t="str">
        <f t="shared" si="279"/>
        <v>03DA</v>
      </c>
      <c r="D672" s="2" t="s">
        <v>325</v>
      </c>
      <c r="E672" s="2" t="s">
        <v>388</v>
      </c>
      <c r="F672" s="20" t="str">
        <f t="shared" si="276"/>
        <v>CRTC 3/4 STATUS</v>
      </c>
      <c r="G672" s="2"/>
    </row>
    <row r="673" spans="1:7">
      <c r="A673" s="22">
        <f t="shared" si="277"/>
        <v>665</v>
      </c>
      <c r="B673" s="10">
        <f t="shared" si="278"/>
        <v>987</v>
      </c>
      <c r="C673" s="24" t="str">
        <f t="shared" si="279"/>
        <v>03DB</v>
      </c>
      <c r="D673" s="2" t="s">
        <v>325</v>
      </c>
      <c r="E673" s="2" t="s">
        <v>389</v>
      </c>
      <c r="F673" s="20" t="str">
        <f t="shared" si="276"/>
        <v>CRTC 3/4 STATUS</v>
      </c>
      <c r="G673" s="2"/>
    </row>
    <row r="674" spans="1:7">
      <c r="A674" s="22">
        <f t="shared" si="277"/>
        <v>666</v>
      </c>
      <c r="B674" s="10">
        <f t="shared" si="278"/>
        <v>988</v>
      </c>
      <c r="C674" s="24" t="str">
        <f t="shared" si="279"/>
        <v>03DC</v>
      </c>
      <c r="D674" s="2" t="s">
        <v>325</v>
      </c>
      <c r="E674" s="2" t="s">
        <v>390</v>
      </c>
      <c r="F674" s="20" t="str">
        <f t="shared" si="276"/>
        <v>CRTC 3/4 STATUS</v>
      </c>
      <c r="G674" s="2"/>
    </row>
    <row r="675" spans="1:7">
      <c r="A675" s="22">
        <f t="shared" si="277"/>
        <v>667</v>
      </c>
      <c r="B675" s="10">
        <f t="shared" si="278"/>
        <v>989</v>
      </c>
      <c r="C675" s="24" t="str">
        <f t="shared" si="279"/>
        <v>03DD</v>
      </c>
      <c r="D675" s="2" t="s">
        <v>325</v>
      </c>
      <c r="E675" s="2" t="s">
        <v>391</v>
      </c>
      <c r="F675" s="20" t="str">
        <f t="shared" si="276"/>
        <v>CRTC 3/4 STATUS</v>
      </c>
      <c r="G675" s="2"/>
    </row>
    <row r="676" spans="1:7">
      <c r="A676" s="22">
        <f t="shared" si="277"/>
        <v>668</v>
      </c>
      <c r="B676" s="10">
        <f t="shared" si="278"/>
        <v>990</v>
      </c>
      <c r="C676" s="24" t="str">
        <f t="shared" si="279"/>
        <v>03DE</v>
      </c>
      <c r="D676" s="2" t="s">
        <v>325</v>
      </c>
      <c r="E676" s="2" t="s">
        <v>392</v>
      </c>
      <c r="F676" s="20" t="str">
        <f t="shared" si="276"/>
        <v>CRTC 3/4 STATUS</v>
      </c>
      <c r="G676" s="2"/>
    </row>
    <row r="677" spans="1:7">
      <c r="A677" s="22">
        <f t="shared" si="277"/>
        <v>669</v>
      </c>
      <c r="B677" s="10">
        <f t="shared" si="278"/>
        <v>991</v>
      </c>
      <c r="C677" s="24" t="str">
        <f t="shared" si="279"/>
        <v>03DF</v>
      </c>
      <c r="D677" s="2" t="s">
        <v>325</v>
      </c>
      <c r="E677" s="2" t="s">
        <v>393</v>
      </c>
      <c r="F677" s="20" t="str">
        <f t="shared" si="276"/>
        <v>CRTC 3/4 STATUS</v>
      </c>
      <c r="G677" s="2"/>
    </row>
    <row r="678" spans="1:7">
      <c r="A678" s="22">
        <f t="shared" si="277"/>
        <v>670</v>
      </c>
      <c r="B678" s="10">
        <f t="shared" si="278"/>
        <v>992</v>
      </c>
      <c r="C678" s="24" t="str">
        <f t="shared" si="279"/>
        <v>03E0</v>
      </c>
      <c r="D678" s="2" t="s">
        <v>325</v>
      </c>
      <c r="E678" s="2" t="s">
        <v>394</v>
      </c>
      <c r="F678" s="20" t="str">
        <f t="shared" si="276"/>
        <v>CRTC 3/4 STATUS</v>
      </c>
      <c r="G678" s="2"/>
    </row>
    <row r="679" spans="1:7">
      <c r="A679" s="22">
        <f t="shared" si="277"/>
        <v>671</v>
      </c>
      <c r="B679" s="10">
        <f t="shared" si="278"/>
        <v>993</v>
      </c>
      <c r="C679" s="24" t="str">
        <f t="shared" si="279"/>
        <v>03E1</v>
      </c>
      <c r="D679" s="2" t="s">
        <v>325</v>
      </c>
      <c r="E679" s="2" t="s">
        <v>395</v>
      </c>
      <c r="F679" s="20" t="str">
        <f t="shared" si="276"/>
        <v>CRTC 3/4 STATUS</v>
      </c>
      <c r="G679" s="2"/>
    </row>
    <row r="680" spans="1:7">
      <c r="A680" s="22">
        <f t="shared" si="277"/>
        <v>672</v>
      </c>
      <c r="B680" s="10">
        <f t="shared" si="278"/>
        <v>994</v>
      </c>
      <c r="C680" s="24" t="str">
        <f t="shared" si="279"/>
        <v>03E2</v>
      </c>
      <c r="D680" s="2" t="s">
        <v>325</v>
      </c>
      <c r="E680" s="2" t="s">
        <v>396</v>
      </c>
      <c r="F680" s="20" t="str">
        <f t="shared" si="276"/>
        <v>CRTC 3/4 STATUS</v>
      </c>
      <c r="G680" s="2"/>
    </row>
    <row r="681" spans="1:7">
      <c r="A681" s="22">
        <f t="shared" si="277"/>
        <v>673</v>
      </c>
      <c r="B681" s="10">
        <f t="shared" si="278"/>
        <v>995</v>
      </c>
      <c r="C681" s="24" t="str">
        <f t="shared" si="279"/>
        <v>03E3</v>
      </c>
      <c r="D681" s="2" t="s">
        <v>325</v>
      </c>
      <c r="E681" s="2" t="s">
        <v>397</v>
      </c>
      <c r="F681" s="20" t="str">
        <f t="shared" si="276"/>
        <v>CRTC 3/4 STATUS</v>
      </c>
      <c r="G681" s="2"/>
    </row>
    <row r="682" spans="1:7">
      <c r="A682" s="22">
        <f t="shared" si="277"/>
        <v>674</v>
      </c>
      <c r="B682" s="10">
        <f t="shared" si="278"/>
        <v>996</v>
      </c>
      <c r="C682" s="24" t="str">
        <f t="shared" si="279"/>
        <v>03E4</v>
      </c>
      <c r="D682" s="2" t="s">
        <v>325</v>
      </c>
      <c r="E682" s="2" t="s">
        <v>398</v>
      </c>
      <c r="F682" s="20" t="str">
        <f t="shared" si="276"/>
        <v>CRTC 3/4 STATUS</v>
      </c>
      <c r="G682" s="2"/>
    </row>
    <row r="683" spans="1:7">
      <c r="B683" s="10">
        <f t="shared" si="278"/>
        <v>997</v>
      </c>
      <c r="C683" s="2" t="str">
        <f t="shared" si="279"/>
        <v>03E5</v>
      </c>
      <c r="D683" s="2" t="s">
        <v>19</v>
      </c>
      <c r="E683" s="2" t="s">
        <v>137</v>
      </c>
      <c r="F683" s="20" t="str">
        <f t="shared" si="276"/>
        <v>CRTC 3/4 STATUS</v>
      </c>
      <c r="G683" s="2"/>
    </row>
    <row r="684" spans="1:7">
      <c r="B684" s="10">
        <f t="shared" si="278"/>
        <v>998</v>
      </c>
      <c r="C684" s="2" t="str">
        <f t="shared" si="279"/>
        <v>03E6</v>
      </c>
      <c r="D684" s="2" t="str">
        <f t="shared" ref="D684:D694" si="280">D683</f>
        <v>B1</v>
      </c>
      <c r="E684" s="2" t="s">
        <v>138</v>
      </c>
      <c r="F684" s="20" t="str">
        <f t="shared" si="276"/>
        <v>CRTC 3/4 STATUS</v>
      </c>
      <c r="G684" s="2"/>
    </row>
    <row r="685" spans="1:7">
      <c r="B685" s="10">
        <f t="shared" si="278"/>
        <v>999</v>
      </c>
      <c r="C685" s="2" t="str">
        <f t="shared" si="279"/>
        <v>03E7</v>
      </c>
      <c r="D685" s="2" t="str">
        <f t="shared" si="280"/>
        <v>B1</v>
      </c>
      <c r="E685" s="21" t="s">
        <v>159</v>
      </c>
      <c r="F685" s="20" t="str">
        <f t="shared" si="276"/>
        <v>CRTC 3/4 STATUS</v>
      </c>
      <c r="G685" s="2"/>
    </row>
    <row r="686" spans="1:7">
      <c r="B686" s="10">
        <f t="shared" si="278"/>
        <v>1000</v>
      </c>
      <c r="C686" s="2" t="str">
        <f t="shared" si="279"/>
        <v>03E8</v>
      </c>
      <c r="D686" s="2" t="str">
        <f t="shared" si="280"/>
        <v>B1</v>
      </c>
      <c r="E686" s="21" t="s">
        <v>160</v>
      </c>
      <c r="F686" s="20" t="str">
        <f t="shared" si="276"/>
        <v>CRTC 3/4 STATUS</v>
      </c>
      <c r="G686" s="2"/>
    </row>
    <row r="687" spans="1:7">
      <c r="B687" s="10">
        <f t="shared" si="278"/>
        <v>1001</v>
      </c>
      <c r="C687" s="2" t="str">
        <f t="shared" si="279"/>
        <v>03E9</v>
      </c>
      <c r="D687" s="2" t="str">
        <f t="shared" si="280"/>
        <v>B1</v>
      </c>
      <c r="E687" s="21" t="s">
        <v>180</v>
      </c>
      <c r="F687" s="20" t="str">
        <f t="shared" si="276"/>
        <v>CRTC 3/4 STATUS</v>
      </c>
      <c r="G687" s="2"/>
    </row>
    <row r="688" spans="1:7">
      <c r="B688" s="10">
        <f t="shared" si="278"/>
        <v>1002</v>
      </c>
      <c r="C688" s="2" t="str">
        <f t="shared" si="279"/>
        <v>03EA</v>
      </c>
      <c r="D688" s="2" t="str">
        <f t="shared" si="280"/>
        <v>B1</v>
      </c>
      <c r="E688" s="21" t="s">
        <v>181</v>
      </c>
      <c r="F688" s="20" t="str">
        <f t="shared" si="276"/>
        <v>CRTC 3/4 STATUS</v>
      </c>
      <c r="G688" s="2"/>
    </row>
    <row r="689" spans="2:7">
      <c r="B689" s="10">
        <f t="shared" si="278"/>
        <v>1003</v>
      </c>
      <c r="C689" s="2" t="str">
        <f t="shared" si="279"/>
        <v>03EB</v>
      </c>
      <c r="D689" s="2" t="str">
        <f t="shared" si="280"/>
        <v>B1</v>
      </c>
      <c r="E689" s="21" t="s">
        <v>202</v>
      </c>
      <c r="F689" s="20" t="str">
        <f t="shared" si="276"/>
        <v>CRTC 3/4 STATUS</v>
      </c>
      <c r="G689" s="2"/>
    </row>
    <row r="690" spans="2:7">
      <c r="B690" s="10">
        <f t="shared" si="278"/>
        <v>1004</v>
      </c>
      <c r="C690" s="2" t="str">
        <f t="shared" si="279"/>
        <v>03EC</v>
      </c>
      <c r="D690" s="2" t="str">
        <f t="shared" si="280"/>
        <v>B1</v>
      </c>
      <c r="E690" s="21" t="s">
        <v>203</v>
      </c>
      <c r="F690" s="20" t="str">
        <f t="shared" si="276"/>
        <v>CRTC 3/4 STATUS</v>
      </c>
      <c r="G690" s="2"/>
    </row>
    <row r="691" spans="2:7">
      <c r="B691" s="10">
        <f t="shared" si="278"/>
        <v>1005</v>
      </c>
      <c r="C691" s="2" t="str">
        <f t="shared" si="279"/>
        <v>03ED</v>
      </c>
      <c r="D691" s="2" t="str">
        <f t="shared" si="280"/>
        <v>B1</v>
      </c>
      <c r="E691" s="21" t="s">
        <v>223</v>
      </c>
      <c r="F691" s="20" t="str">
        <f t="shared" si="276"/>
        <v>CRTC 3/4 STATUS</v>
      </c>
      <c r="G691" s="2"/>
    </row>
    <row r="692" spans="2:7">
      <c r="B692" s="10">
        <f t="shared" si="278"/>
        <v>1006</v>
      </c>
      <c r="C692" s="2" t="str">
        <f t="shared" si="279"/>
        <v>03EE</v>
      </c>
      <c r="D692" s="2" t="str">
        <f t="shared" si="280"/>
        <v>B1</v>
      </c>
      <c r="E692" s="21" t="s">
        <v>224</v>
      </c>
      <c r="F692" s="20" t="str">
        <f t="shared" si="276"/>
        <v>CRTC 3/4 STATUS</v>
      </c>
      <c r="G692" s="2"/>
    </row>
    <row r="693" spans="2:7">
      <c r="B693" s="10">
        <f t="shared" si="278"/>
        <v>1007</v>
      </c>
      <c r="C693" s="2" t="str">
        <f t="shared" si="279"/>
        <v>03EF</v>
      </c>
      <c r="D693" s="2" t="str">
        <f t="shared" si="280"/>
        <v>B1</v>
      </c>
      <c r="E693" s="21" t="s">
        <v>244</v>
      </c>
      <c r="F693" s="20" t="str">
        <f t="shared" si="276"/>
        <v>CRTC 3/4 STATUS</v>
      </c>
      <c r="G693" s="2"/>
    </row>
    <row r="694" spans="2:7">
      <c r="B694" s="10">
        <f t="shared" si="278"/>
        <v>1008</v>
      </c>
      <c r="C694" s="2" t="str">
        <f t="shared" si="279"/>
        <v>03F0</v>
      </c>
      <c r="D694" s="2" t="str">
        <f t="shared" si="280"/>
        <v>B1</v>
      </c>
      <c r="E694" s="21" t="s">
        <v>245</v>
      </c>
      <c r="F694" s="20" t="str">
        <f t="shared" si="276"/>
        <v>CRTC 3/4 STATUS</v>
      </c>
      <c r="G694" s="2"/>
    </row>
    <row r="695" spans="2:7">
      <c r="B695" s="10">
        <f t="shared" si="278"/>
        <v>1009</v>
      </c>
      <c r="C695" s="2" t="str">
        <f t="shared" si="279"/>
        <v>03F1</v>
      </c>
      <c r="D695" s="2" t="s">
        <v>321</v>
      </c>
      <c r="E695" s="21" t="s">
        <v>55</v>
      </c>
      <c r="F695" s="20" t="s">
        <v>322</v>
      </c>
      <c r="G695" s="2" t="s">
        <v>430</v>
      </c>
    </row>
    <row r="696" spans="2:7">
      <c r="B696" s="10">
        <f t="shared" si="278"/>
        <v>1010</v>
      </c>
      <c r="C696" s="2" t="str">
        <f t="shared" si="279"/>
        <v>03F2</v>
      </c>
      <c r="D696" s="2" t="s">
        <v>321</v>
      </c>
      <c r="E696" s="21" t="s">
        <v>56</v>
      </c>
      <c r="F696" s="20" t="s">
        <v>322</v>
      </c>
      <c r="G696" s="2" t="s">
        <v>430</v>
      </c>
    </row>
    <row r="697" spans="2:7">
      <c r="B697" s="10">
        <f t="shared" si="278"/>
        <v>1011</v>
      </c>
      <c r="C697" s="2" t="str">
        <f t="shared" si="279"/>
        <v>03F3</v>
      </c>
      <c r="D697" s="2" t="s">
        <v>321</v>
      </c>
      <c r="E697" s="21" t="s">
        <v>434</v>
      </c>
      <c r="F697" s="20" t="s">
        <v>322</v>
      </c>
      <c r="G697" s="2" t="s">
        <v>430</v>
      </c>
    </row>
    <row r="698" spans="2:7">
      <c r="B698" s="10">
        <f t="shared" si="278"/>
        <v>1012</v>
      </c>
      <c r="C698" s="2" t="str">
        <f t="shared" si="279"/>
        <v>03F4</v>
      </c>
      <c r="D698" s="2" t="s">
        <v>321</v>
      </c>
      <c r="E698" s="21" t="s">
        <v>435</v>
      </c>
      <c r="F698" s="20" t="s">
        <v>322</v>
      </c>
      <c r="G698" s="2" t="s">
        <v>430</v>
      </c>
    </row>
    <row r="699" spans="2:7">
      <c r="B699" s="10">
        <f t="shared" si="278"/>
        <v>1013</v>
      </c>
      <c r="C699" s="2" t="str">
        <f t="shared" si="279"/>
        <v>03F5</v>
      </c>
      <c r="D699" s="2" t="s">
        <v>321</v>
      </c>
      <c r="E699" s="21" t="s">
        <v>436</v>
      </c>
      <c r="F699" s="20" t="s">
        <v>322</v>
      </c>
      <c r="G699" s="2" t="s">
        <v>430</v>
      </c>
    </row>
    <row r="700" spans="2:7">
      <c r="B700" s="10">
        <f t="shared" si="278"/>
        <v>1014</v>
      </c>
      <c r="C700" s="2" t="str">
        <f t="shared" si="279"/>
        <v>03F6</v>
      </c>
      <c r="D700" s="2" t="s">
        <v>321</v>
      </c>
      <c r="E700" s="21" t="s">
        <v>437</v>
      </c>
      <c r="F700" s="20" t="s">
        <v>322</v>
      </c>
      <c r="G700" s="2" t="s">
        <v>430</v>
      </c>
    </row>
    <row r="701" spans="2:7">
      <c r="B701" s="10">
        <f t="shared" si="278"/>
        <v>1015</v>
      </c>
      <c r="C701" s="2" t="str">
        <f t="shared" si="279"/>
        <v>03F7</v>
      </c>
      <c r="D701" s="2"/>
      <c r="E701" s="21"/>
      <c r="F701" s="20"/>
      <c r="G701" s="2"/>
    </row>
    <row r="702" spans="2:7">
      <c r="B702" s="10">
        <f t="shared" si="278"/>
        <v>1016</v>
      </c>
      <c r="C702" s="2" t="str">
        <f t="shared" si="279"/>
        <v>03F8</v>
      </c>
      <c r="D702" s="2"/>
      <c r="E702" s="21"/>
      <c r="F702" s="20"/>
      <c r="G702" s="2"/>
    </row>
    <row r="703" spans="2:7">
      <c r="B703" s="10">
        <f t="shared" si="278"/>
        <v>1017</v>
      </c>
      <c r="C703" s="2" t="str">
        <f t="shared" si="279"/>
        <v>03F9</v>
      </c>
      <c r="D703" s="2"/>
      <c r="E703" s="21"/>
      <c r="F703" s="20"/>
      <c r="G703" s="2"/>
    </row>
    <row r="704" spans="2:7">
      <c r="B704" s="10">
        <f t="shared" si="278"/>
        <v>1018</v>
      </c>
      <c r="C704" s="2" t="str">
        <f t="shared" si="279"/>
        <v>03FA</v>
      </c>
      <c r="D704" s="2"/>
      <c r="E704" s="21"/>
      <c r="F704" s="20"/>
      <c r="G704" s="2"/>
    </row>
    <row r="705" spans="2:7">
      <c r="B705" s="10">
        <f t="shared" si="278"/>
        <v>1019</v>
      </c>
      <c r="C705" s="2" t="str">
        <f t="shared" si="279"/>
        <v>03FB</v>
      </c>
      <c r="D705" s="2"/>
      <c r="E705" s="21"/>
      <c r="F705" s="20"/>
      <c r="G705" s="2"/>
    </row>
    <row r="706" spans="2:7">
      <c r="B706" s="10">
        <f t="shared" si="278"/>
        <v>1020</v>
      </c>
      <c r="C706" s="2" t="str">
        <f t="shared" si="279"/>
        <v>03FC</v>
      </c>
      <c r="D706" s="2"/>
      <c r="E706" s="21"/>
      <c r="F706" s="20"/>
      <c r="G706" s="2"/>
    </row>
    <row r="707" spans="2:7">
      <c r="B707" s="10">
        <f t="shared" si="278"/>
        <v>1021</v>
      </c>
      <c r="C707" s="2" t="str">
        <f t="shared" si="279"/>
        <v>03FD</v>
      </c>
      <c r="D707" s="2"/>
      <c r="E707" s="21"/>
      <c r="F707" s="20"/>
      <c r="G707" s="2"/>
    </row>
    <row r="708" spans="2:7">
      <c r="B708" s="10">
        <v>1024</v>
      </c>
      <c r="C708" s="2" t="str">
        <f t="shared" si="279"/>
        <v>0400</v>
      </c>
      <c r="D708" s="2"/>
      <c r="E708" s="21"/>
      <c r="F708" s="20"/>
      <c r="G708" s="2"/>
    </row>
    <row r="709" spans="2:7">
      <c r="B709" s="10">
        <f>B708+1</f>
        <v>1025</v>
      </c>
      <c r="C709" s="2" t="str">
        <f t="shared" si="279"/>
        <v>0401</v>
      </c>
      <c r="D709" s="2"/>
      <c r="E709" s="21"/>
      <c r="F709" s="20"/>
      <c r="G709" s="2"/>
    </row>
    <row r="710" spans="2:7">
      <c r="B710" s="10">
        <f t="shared" si="278"/>
        <v>1026</v>
      </c>
      <c r="C710" s="2" t="str">
        <f t="shared" si="279"/>
        <v>0402</v>
      </c>
      <c r="D710" s="2"/>
      <c r="E710" s="2"/>
      <c r="F710" s="20"/>
      <c r="G710" s="2"/>
    </row>
    <row r="711" spans="2:7">
      <c r="B711" s="10">
        <f t="shared" si="278"/>
        <v>1027</v>
      </c>
      <c r="C711" s="2" t="str">
        <f t="shared" si="279"/>
        <v>0403</v>
      </c>
      <c r="D711" s="2"/>
      <c r="E711" s="2"/>
      <c r="F711" s="20"/>
      <c r="G711" s="2"/>
    </row>
    <row r="712" spans="2:7">
      <c r="B712" s="10">
        <f t="shared" si="278"/>
        <v>1028</v>
      </c>
      <c r="C712" s="2" t="str">
        <f t="shared" si="279"/>
        <v>0404</v>
      </c>
      <c r="D712" s="2"/>
      <c r="E712" s="2"/>
      <c r="F712" s="20"/>
      <c r="G712" s="2"/>
    </row>
    <row r="713" spans="2:7">
      <c r="B713" s="10">
        <f t="shared" si="278"/>
        <v>1029</v>
      </c>
      <c r="C713" s="2" t="str">
        <f t="shared" si="279"/>
        <v>0405</v>
      </c>
      <c r="D713" s="2"/>
      <c r="E713" s="2"/>
      <c r="F713" s="20"/>
      <c r="G713" s="2"/>
    </row>
    <row r="714" spans="2:7">
      <c r="B714" s="10">
        <f t="shared" si="278"/>
        <v>1030</v>
      </c>
      <c r="C714" s="2" t="str">
        <f t="shared" si="279"/>
        <v>0406</v>
      </c>
      <c r="D714" s="2"/>
      <c r="E714" s="2"/>
      <c r="F714" s="20"/>
      <c r="G714" s="2"/>
    </row>
    <row r="715" spans="2:7">
      <c r="B715" s="10">
        <f t="shared" si="278"/>
        <v>1031</v>
      </c>
      <c r="C715" s="2" t="str">
        <f t="shared" si="279"/>
        <v>0407</v>
      </c>
      <c r="D715" s="2"/>
      <c r="E715" s="2"/>
      <c r="F715" s="20"/>
      <c r="G715" s="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ED NOT USED</vt:lpstr>
      <vt:lpstr>SNAPSHOT REF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2023-10-19T23:52:57Z</dcterms:modified>
</cp:coreProperties>
</file>